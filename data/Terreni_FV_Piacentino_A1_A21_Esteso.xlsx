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eni Aperta Campagna (90)" sheetId="1" state="visible" r:id="rId1"/>
    <sheet name="Riserve Periurbane (26)" sheetId="2" state="visible" r:id="rId2"/>
    <sheet name="Metodo Fonti e Specifich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59669"/>
      <sz val="13"/>
    </font>
    <font>
      <b val="1"/>
    </font>
    <font>
      <b val="1"/>
      <color rgb="001D4ED8"/>
    </font>
    <font>
      <name val="Calibri"/>
      <b val="1"/>
      <color rgb="00FFFFFF"/>
      <sz val="10"/>
    </font>
    <font>
      <color rgb="000284C7"/>
      <u val="single"/>
    </font>
    <font>
      <b val="1"/>
      <color rgb="00059669"/>
      <sz val="11"/>
    </font>
  </fonts>
  <fills count="5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0D1526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4" borderId="1" pivotButton="0" quotePrefix="0" xfId="0"/>
    <xf numFmtId="0" fontId="5" fillId="0" borderId="1" pivotButton="0" quotePrefix="0" xfId="0"/>
    <xf numFmtId="0" fontId="0" fillId="2" borderId="1" pivotButton="0" quotePrefix="0" xfId="0"/>
    <xf numFmtId="3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45.067204,9.559271&amp;t=k&amp;z=17" TargetMode="External" Id="rId1" /><Relationship Type="http://schemas.openxmlformats.org/officeDocument/2006/relationships/hyperlink" Target="https://www.google.com/maps?q=45.04464,9.843602&amp;t=k&amp;z=17" TargetMode="External" Id="rId2" /><Relationship Type="http://schemas.openxmlformats.org/officeDocument/2006/relationships/hyperlink" Target="https://www.google.com/maps?q=44.994,9.8275&amp;t=k&amp;z=17" TargetMode="External" Id="rId3" /><Relationship Type="http://schemas.openxmlformats.org/officeDocument/2006/relationships/hyperlink" Target="https://www.google.com/maps?q=45.050136,9.850314&amp;t=k&amp;z=17" TargetMode="External" Id="rId4" /><Relationship Type="http://schemas.openxmlformats.org/officeDocument/2006/relationships/hyperlink" Target="https://www.google.com/maps?q=44.991964,9.828073&amp;t=k&amp;z=17" TargetMode="External" Id="rId5" /><Relationship Type="http://schemas.openxmlformats.org/officeDocument/2006/relationships/hyperlink" Target="https://www.google.com/maps?q=45.06626,9.569873&amp;t=k&amp;z=17" TargetMode="External" Id="rId6" /><Relationship Type="http://schemas.openxmlformats.org/officeDocument/2006/relationships/hyperlink" Target="https://www.google.com/maps?q=44.995798,9.831311&amp;t=k&amp;z=17" TargetMode="External" Id="rId7" /><Relationship Type="http://schemas.openxmlformats.org/officeDocument/2006/relationships/hyperlink" Target="https://www.google.com/maps?q=45.066237,9.579211&amp;t=k&amp;z=17" TargetMode="External" Id="rId8" /><Relationship Type="http://schemas.openxmlformats.org/officeDocument/2006/relationships/hyperlink" Target="https://www.google.com/maps?q=45.052923,9.860662&amp;t=k&amp;z=17" TargetMode="External" Id="rId9" /><Relationship Type="http://schemas.openxmlformats.org/officeDocument/2006/relationships/hyperlink" Target="https://www.google.com/maps?q=45.063272,9.565767&amp;t=k&amp;z=17" TargetMode="External" Id="rId10" /><Relationship Type="http://schemas.openxmlformats.org/officeDocument/2006/relationships/hyperlink" Target="https://www.google.com/maps?q=45.059487,9.919453&amp;t=k&amp;z=17" TargetMode="External" Id="rId11" /><Relationship Type="http://schemas.openxmlformats.org/officeDocument/2006/relationships/hyperlink" Target="https://www.google.com/maps?q=45.068114,9.573417&amp;t=k&amp;z=17" TargetMode="External" Id="rId12" /><Relationship Type="http://schemas.openxmlformats.org/officeDocument/2006/relationships/hyperlink" Target="https://www.google.com/maps?q=45.063751,9.54148&amp;t=k&amp;z=17" TargetMode="External" Id="rId13" /><Relationship Type="http://schemas.openxmlformats.org/officeDocument/2006/relationships/hyperlink" Target="https://www.google.com/maps?q=45.045056,9.851336&amp;t=k&amp;z=17" TargetMode="External" Id="rId14" /><Relationship Type="http://schemas.openxmlformats.org/officeDocument/2006/relationships/hyperlink" Target="https://www.google.com/maps?q=45.065325,9.618428&amp;t=k&amp;z=17" TargetMode="External" Id="rId15" /><Relationship Type="http://schemas.openxmlformats.org/officeDocument/2006/relationships/hyperlink" Target="https://www.google.com/maps?q=44.9965,9.8285&amp;t=k&amp;z=17" TargetMode="External" Id="rId16" /><Relationship Type="http://schemas.openxmlformats.org/officeDocument/2006/relationships/hyperlink" Target="https://www.google.com/maps?q=45.048215,9.824691&amp;t=k&amp;z=17" TargetMode="External" Id="rId17" /><Relationship Type="http://schemas.openxmlformats.org/officeDocument/2006/relationships/hyperlink" Target="https://www.google.com/maps?q=45.061272,9.925847&amp;t=k&amp;z=17" TargetMode="External" Id="rId18" /><Relationship Type="http://schemas.openxmlformats.org/officeDocument/2006/relationships/hyperlink" Target="https://www.google.com/maps?q=45.064574,9.621185&amp;t=k&amp;z=17" TargetMode="External" Id="rId19" /><Relationship Type="http://schemas.openxmlformats.org/officeDocument/2006/relationships/hyperlink" Target="https://www.google.com/maps?q=45.064243,9.956639&amp;t=k&amp;z=17" TargetMode="External" Id="rId20" /><Relationship Type="http://schemas.openxmlformats.org/officeDocument/2006/relationships/hyperlink" Target="https://www.google.com/maps?q=45.057063,9.931082&amp;t=k&amp;z=17" TargetMode="External" Id="rId21" /><Relationship Type="http://schemas.openxmlformats.org/officeDocument/2006/relationships/hyperlink" Target="https://www.google.com/maps?q=45.073734,9.970963&amp;t=k&amp;z=17" TargetMode="External" Id="rId22" /><Relationship Type="http://schemas.openxmlformats.org/officeDocument/2006/relationships/hyperlink" Target="https://www.google.com/maps?q=45.061431,9.929875&amp;t=k&amp;z=17" TargetMode="External" Id="rId23" /><Relationship Type="http://schemas.openxmlformats.org/officeDocument/2006/relationships/hyperlink" Target="https://www.google.com/maps?q=44.972525,9.876535&amp;t=k&amp;z=17" TargetMode="External" Id="rId24" /><Relationship Type="http://schemas.openxmlformats.org/officeDocument/2006/relationships/hyperlink" Target="https://www.google.com/maps?q=45.061742,9.571556&amp;t=k&amp;z=17" TargetMode="External" Id="rId25" /><Relationship Type="http://schemas.openxmlformats.org/officeDocument/2006/relationships/hyperlink" Target="https://www.google.com/maps?q=45.058804,9.942527&amp;t=k&amp;z=17" TargetMode="External" Id="rId26" /><Relationship Type="http://schemas.openxmlformats.org/officeDocument/2006/relationships/hyperlink" Target="https://www.google.com/maps?q=45.024712,9.771422&amp;t=k&amp;z=17" TargetMode="External" Id="rId27" /><Relationship Type="http://schemas.openxmlformats.org/officeDocument/2006/relationships/hyperlink" Target="https://www.google.com/maps?q=45.059068,9.742343&amp;t=k&amp;z=17" TargetMode="External" Id="rId28" /><Relationship Type="http://schemas.openxmlformats.org/officeDocument/2006/relationships/hyperlink" Target="https://www.google.com/maps?q=45.0614,9.616052&amp;t=k&amp;z=17" TargetMode="External" Id="rId29" /><Relationship Type="http://schemas.openxmlformats.org/officeDocument/2006/relationships/hyperlink" Target="https://www.google.com/maps?q=44.979218,9.870918&amp;t=k&amp;z=17" TargetMode="External" Id="rId30" /><Relationship Type="http://schemas.openxmlformats.org/officeDocument/2006/relationships/hyperlink" Target="https://www.google.com/maps?q=44.973085,9.883344&amp;t=k&amp;z=17" TargetMode="External" Id="rId31" /><Relationship Type="http://schemas.openxmlformats.org/officeDocument/2006/relationships/hyperlink" Target="https://www.google.com/maps?q=45.055931,9.89555&amp;t=k&amp;z=17" TargetMode="External" Id="rId32" /><Relationship Type="http://schemas.openxmlformats.org/officeDocument/2006/relationships/hyperlink" Target="https://www.google.com/maps?q=44.9965,9.821&amp;t=k&amp;z=17" TargetMode="External" Id="rId33" /><Relationship Type="http://schemas.openxmlformats.org/officeDocument/2006/relationships/hyperlink" Target="https://www.google.com/maps?q=45.070816,9.965073&amp;t=k&amp;z=17" TargetMode="External" Id="rId34" /><Relationship Type="http://schemas.openxmlformats.org/officeDocument/2006/relationships/hyperlink" Target="https://www.google.com/maps?q=45.059985,9.923683&amp;t=k&amp;z=17" TargetMode="External" Id="rId35" /><Relationship Type="http://schemas.openxmlformats.org/officeDocument/2006/relationships/hyperlink" Target="https://www.google.com/maps?q=45.047742,9.84505&amp;t=k&amp;z=17" TargetMode="External" Id="rId36" /><Relationship Type="http://schemas.openxmlformats.org/officeDocument/2006/relationships/hyperlink" Target="https://www.google.com/maps?q=45.047697,9.834912&amp;t=k&amp;z=17" TargetMode="External" Id="rId37" /><Relationship Type="http://schemas.openxmlformats.org/officeDocument/2006/relationships/hyperlink" Target="https://www.google.com/maps?q=44.938398,9.967054&amp;t=k&amp;z=17" TargetMode="External" Id="rId38" /><Relationship Type="http://schemas.openxmlformats.org/officeDocument/2006/relationships/hyperlink" Target="https://www.google.com/maps?q=44.976968,9.866965&amp;t=k&amp;z=17" TargetMode="External" Id="rId39" /><Relationship Type="http://schemas.openxmlformats.org/officeDocument/2006/relationships/hyperlink" Target="https://www.google.com/maps?q=45.082477,9.414815&amp;t=k&amp;z=17" TargetMode="External" Id="rId40" /><Relationship Type="http://schemas.openxmlformats.org/officeDocument/2006/relationships/hyperlink" Target="https://www.google.com/maps?q=45.069062,9.479824&amp;t=k&amp;z=17" TargetMode="External" Id="rId41" /><Relationship Type="http://schemas.openxmlformats.org/officeDocument/2006/relationships/hyperlink" Target="https://www.google.com/maps?q=44.998189,9.814251&amp;t=k&amp;z=17" TargetMode="External" Id="rId42" /><Relationship Type="http://schemas.openxmlformats.org/officeDocument/2006/relationships/hyperlink" Target="https://www.google.com/maps?q=44.988901,9.849365&amp;t=k&amp;z=17" TargetMode="External" Id="rId43" /><Relationship Type="http://schemas.openxmlformats.org/officeDocument/2006/relationships/hyperlink" Target="https://www.google.com/maps?q=44.984705,9.845846&amp;t=k&amp;z=17" TargetMode="External" Id="rId44" /><Relationship Type="http://schemas.openxmlformats.org/officeDocument/2006/relationships/hyperlink" Target="https://www.google.com/maps?q=45.047871,9.831259&amp;t=k&amp;z=17" TargetMode="External" Id="rId45" /><Relationship Type="http://schemas.openxmlformats.org/officeDocument/2006/relationships/hyperlink" Target="https://www.google.com/maps?q=45.068466,9.956767&amp;t=k&amp;z=17" TargetMode="External" Id="rId46" /><Relationship Type="http://schemas.openxmlformats.org/officeDocument/2006/relationships/hyperlink" Target="https://www.google.com/maps?q=45.077314,9.975459&amp;t=k&amp;z=17" TargetMode="External" Id="rId47" /><Relationship Type="http://schemas.openxmlformats.org/officeDocument/2006/relationships/hyperlink" Target="https://www.google.com/maps?q=45.078836,9.436467&amp;t=k&amp;z=17" TargetMode="External" Id="rId48" /><Relationship Type="http://schemas.openxmlformats.org/officeDocument/2006/relationships/hyperlink" Target="https://www.google.com/maps?q=44.979369,9.863316&amp;t=k&amp;z=17" TargetMode="External" Id="rId49" /><Relationship Type="http://schemas.openxmlformats.org/officeDocument/2006/relationships/hyperlink" Target="https://www.google.com/maps?q=45.064446,9.558344&amp;t=k&amp;z=17" TargetMode="External" Id="rId50" /><Relationship Type="http://schemas.openxmlformats.org/officeDocument/2006/relationships/hyperlink" Target="https://www.google.com/maps?q=44.985103,9.859048&amp;t=k&amp;z=17" TargetMode="External" Id="rId51" /><Relationship Type="http://schemas.openxmlformats.org/officeDocument/2006/relationships/hyperlink" Target="https://www.google.com/maps?q=45.006448,9.80446&amp;t=k&amp;z=17" TargetMode="External" Id="rId52" /><Relationship Type="http://schemas.openxmlformats.org/officeDocument/2006/relationships/hyperlink" Target="https://www.google.com/maps?q=45.065028,9.590605&amp;t=k&amp;z=17" TargetMode="External" Id="rId53" /><Relationship Type="http://schemas.openxmlformats.org/officeDocument/2006/relationships/hyperlink" Target="https://www.google.com/maps?q=44.987516,9.838506&amp;t=k&amp;z=17" TargetMode="External" Id="rId54" /><Relationship Type="http://schemas.openxmlformats.org/officeDocument/2006/relationships/hyperlink" Target="https://www.google.com/maps?q=44.981234,9.86569&amp;t=k&amp;z=17" TargetMode="External" Id="rId55" /><Relationship Type="http://schemas.openxmlformats.org/officeDocument/2006/relationships/hyperlink" Target="https://www.google.com/maps?q=44.961426,9.906014&amp;t=k&amp;z=17" TargetMode="External" Id="rId56" /><Relationship Type="http://schemas.openxmlformats.org/officeDocument/2006/relationships/hyperlink" Target="https://www.google.com/maps?q=45.002674,9.813984&amp;t=k&amp;z=17" TargetMode="External" Id="rId57" /><Relationship Type="http://schemas.openxmlformats.org/officeDocument/2006/relationships/hyperlink" Target="https://www.google.com/maps?q=45.067571,9.95946&amp;t=k&amp;z=17" TargetMode="External" Id="rId58" /><Relationship Type="http://schemas.openxmlformats.org/officeDocument/2006/relationships/hyperlink" Target="https://www.google.com/maps?q=44.989923,9.84549&amp;t=k&amp;z=17" TargetMode="External" Id="rId59" /><Relationship Type="http://schemas.openxmlformats.org/officeDocument/2006/relationships/hyperlink" Target="https://www.google.com/maps?q=44.953508,9.922945&amp;t=k&amp;z=17" TargetMode="External" Id="rId60" /><Relationship Type="http://schemas.openxmlformats.org/officeDocument/2006/relationships/hyperlink" Target="https://www.google.com/maps?q=44.980825,9.858222&amp;t=k&amp;z=17" TargetMode="External" Id="rId61" /><Relationship Type="http://schemas.openxmlformats.org/officeDocument/2006/relationships/hyperlink" Target="https://www.google.com/maps?q=45.056629,9.914016&amp;t=k&amp;z=17" TargetMode="External" Id="rId62" /><Relationship Type="http://schemas.openxmlformats.org/officeDocument/2006/relationships/hyperlink" Target="https://www.google.com/maps?q=44.956972,9.916694&amp;t=k&amp;z=17" TargetMode="External" Id="rId63" /><Relationship Type="http://schemas.openxmlformats.org/officeDocument/2006/relationships/hyperlink" Target="https://www.google.com/maps?q=44.957977,9.912528&amp;t=k&amp;z=17" TargetMode="External" Id="rId64" /><Relationship Type="http://schemas.openxmlformats.org/officeDocument/2006/relationships/hyperlink" Target="https://www.google.com/maps?q=45.056553,9.740095&amp;t=k&amp;z=17" TargetMode="External" Id="rId65" /><Relationship Type="http://schemas.openxmlformats.org/officeDocument/2006/relationships/hyperlink" Target="https://www.google.com/maps?q=45.055278,9.926408&amp;t=k&amp;z=17" TargetMode="External" Id="rId66" /><Relationship Type="http://schemas.openxmlformats.org/officeDocument/2006/relationships/hyperlink" Target="https://www.google.com/maps?q=44.971448,9.882303&amp;t=k&amp;z=17" TargetMode="External" Id="rId67" /><Relationship Type="http://schemas.openxmlformats.org/officeDocument/2006/relationships/hyperlink" Target="https://www.google.com/maps?q=45.069647,9.491875&amp;t=k&amp;z=17" TargetMode="External" Id="rId68" /><Relationship Type="http://schemas.openxmlformats.org/officeDocument/2006/relationships/hyperlink" Target="https://www.google.com/maps?q=44.962776,9.90655&amp;t=k&amp;z=17" TargetMode="External" Id="rId69" /><Relationship Type="http://schemas.openxmlformats.org/officeDocument/2006/relationships/hyperlink" Target="https://www.google.com/maps?q=45.077232,9.970022&amp;t=k&amp;z=17" TargetMode="External" Id="rId70" /><Relationship Type="http://schemas.openxmlformats.org/officeDocument/2006/relationships/hyperlink" Target="https://www.google.com/maps?q=44.993467,9.835876&amp;t=k&amp;z=17" TargetMode="External" Id="rId71" /><Relationship Type="http://schemas.openxmlformats.org/officeDocument/2006/relationships/hyperlink" Target="https://www.google.com/maps?q=45.082224,9.418041&amp;t=k&amp;z=17" TargetMode="External" Id="rId72" /><Relationship Type="http://schemas.openxmlformats.org/officeDocument/2006/relationships/hyperlink" Target="https://www.google.com/maps?q=44.958663,9.917406&amp;t=k&amp;z=17" TargetMode="External" Id="rId73" /><Relationship Type="http://schemas.openxmlformats.org/officeDocument/2006/relationships/hyperlink" Target="https://www.google.com/maps?q=45.057976,9.93657&amp;t=k&amp;z=17" TargetMode="External" Id="rId74" /><Relationship Type="http://schemas.openxmlformats.org/officeDocument/2006/relationships/hyperlink" Target="https://www.google.com/maps?q=45.062917,9.560313&amp;t=k&amp;z=17" TargetMode="External" Id="rId75" /><Relationship Type="http://schemas.openxmlformats.org/officeDocument/2006/relationships/hyperlink" Target="https://www.google.com/maps?q=45.06319,9.940367&amp;t=k&amp;z=17" TargetMode="External" Id="rId76" /><Relationship Type="http://schemas.openxmlformats.org/officeDocument/2006/relationships/hyperlink" Target="https://www.google.com/maps?q=44.941347,9.950054&amp;t=k&amp;z=17" TargetMode="External" Id="rId77" /><Relationship Type="http://schemas.openxmlformats.org/officeDocument/2006/relationships/hyperlink" Target="https://www.google.com/maps?q=45.072668,9.491939&amp;t=k&amp;z=17" TargetMode="External" Id="rId78" /><Relationship Type="http://schemas.openxmlformats.org/officeDocument/2006/relationships/hyperlink" Target="https://www.google.com/maps?q=45.060834,9.934042&amp;t=k&amp;z=17" TargetMode="External" Id="rId79" /><Relationship Type="http://schemas.openxmlformats.org/officeDocument/2006/relationships/hyperlink" Target="https://www.google.com/maps?q=45.064337,9.552919&amp;t=k&amp;z=17" TargetMode="External" Id="rId80" /><Relationship Type="http://schemas.openxmlformats.org/officeDocument/2006/relationships/hyperlink" Target="https://www.google.com/maps?q=45.0799,9.972448&amp;t=k&amp;z=17" TargetMode="External" Id="rId81" /><Relationship Type="http://schemas.openxmlformats.org/officeDocument/2006/relationships/hyperlink" Target="https://www.google.com/maps?q=45.078878,9.42278&amp;t=k&amp;z=17" TargetMode="External" Id="rId82" /><Relationship Type="http://schemas.openxmlformats.org/officeDocument/2006/relationships/hyperlink" Target="https://www.google.com/maps?q=45.068866,9.548037&amp;t=k&amp;z=17" TargetMode="External" Id="rId83" /><Relationship Type="http://schemas.openxmlformats.org/officeDocument/2006/relationships/hyperlink" Target="https://www.google.com/maps?q=44.931055,9.973141&amp;t=k&amp;z=17" TargetMode="External" Id="rId84" /><Relationship Type="http://schemas.openxmlformats.org/officeDocument/2006/relationships/hyperlink" Target="https://www.google.com/maps?q=45.055404,9.932962&amp;t=k&amp;z=17" TargetMode="External" Id="rId85" /><Relationship Type="http://schemas.openxmlformats.org/officeDocument/2006/relationships/hyperlink" Target="https://www.google.com/maps?q=44.982977,9.861957&amp;t=k&amp;z=17" TargetMode="External" Id="rId86" /><Relationship Type="http://schemas.openxmlformats.org/officeDocument/2006/relationships/hyperlink" Target="https://www.google.com/maps?q=44.96107,9.912464&amp;t=k&amp;z=17" TargetMode="External" Id="rId87" /><Relationship Type="http://schemas.openxmlformats.org/officeDocument/2006/relationships/hyperlink" Target="https://www.google.com/maps?q=44.9972,9.8185&amp;t=k&amp;z=17" TargetMode="External" Id="rId88" /><Relationship Type="http://schemas.openxmlformats.org/officeDocument/2006/relationships/hyperlink" Target="https://www.google.com/maps?q=45.062372,9.568394&amp;t=k&amp;z=17" TargetMode="External" Id="rId89" /><Relationship Type="http://schemas.openxmlformats.org/officeDocument/2006/relationships/hyperlink" Target="https://www.google.com/maps?q=44.999,9.822&amp;t=k&amp;z=17" TargetMode="External" Id="rId9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?q=45.048762,9.760785&amp;t=k&amp;z=17" TargetMode="External" Id="rId1" /><Relationship Type="http://schemas.openxmlformats.org/officeDocument/2006/relationships/hyperlink" Target="https://www.google.com/maps?q=45.055242,9.737135&amp;t=k&amp;z=17" TargetMode="External" Id="rId2" /><Relationship Type="http://schemas.openxmlformats.org/officeDocument/2006/relationships/hyperlink" Target="https://www.google.com/maps?q=45.000605,9.809872&amp;t=k&amp;z=17" TargetMode="External" Id="rId3" /><Relationship Type="http://schemas.openxmlformats.org/officeDocument/2006/relationships/hyperlink" Target="https://www.google.com/maps?q=45.043973,9.824945&amp;t=k&amp;z=17" TargetMode="External" Id="rId4" /><Relationship Type="http://schemas.openxmlformats.org/officeDocument/2006/relationships/hyperlink" Target="https://www.google.com/maps?q=45.043184,9.838266&amp;t=k&amp;z=17" TargetMode="External" Id="rId5" /><Relationship Type="http://schemas.openxmlformats.org/officeDocument/2006/relationships/hyperlink" Target="https://www.google.com/maps?q=45.052295,9.76821&amp;t=k&amp;z=17" TargetMode="External" Id="rId6" /><Relationship Type="http://schemas.openxmlformats.org/officeDocument/2006/relationships/hyperlink" Target="https://www.google.com/maps?q=45.060423,9.943988&amp;t=k&amp;z=17" TargetMode="External" Id="rId7" /><Relationship Type="http://schemas.openxmlformats.org/officeDocument/2006/relationships/hyperlink" Target="https://www.google.com/maps?q=45.05615,9.92301&amp;t=k&amp;z=17" TargetMode="External" Id="rId8" /><Relationship Type="http://schemas.openxmlformats.org/officeDocument/2006/relationships/hyperlink" Target="https://www.google.com/maps?q=45.037115,9.764968&amp;t=k&amp;z=17" TargetMode="External" Id="rId9" /><Relationship Type="http://schemas.openxmlformats.org/officeDocument/2006/relationships/hyperlink" Target="https://www.google.com/maps?q=45.051189,9.783466&amp;t=k&amp;z=17" TargetMode="External" Id="rId10" /><Relationship Type="http://schemas.openxmlformats.org/officeDocument/2006/relationships/hyperlink" Target="https://www.google.com/maps?q=45.067028,9.953616&amp;t=k&amp;z=17" TargetMode="External" Id="rId11" /><Relationship Type="http://schemas.openxmlformats.org/officeDocument/2006/relationships/hyperlink" Target="https://www.google.com/maps?q=45.075397,9.465379&amp;t=k&amp;z=17" TargetMode="External" Id="rId12" /><Relationship Type="http://schemas.openxmlformats.org/officeDocument/2006/relationships/hyperlink" Target="https://www.google.com/maps?q=45.059079,9.895398&amp;t=k&amp;z=17" TargetMode="External" Id="rId13" /><Relationship Type="http://schemas.openxmlformats.org/officeDocument/2006/relationships/hyperlink" Target="https://www.google.com/maps?q=45.059881,9.654046&amp;t=k&amp;z=17" TargetMode="External" Id="rId14" /><Relationship Type="http://schemas.openxmlformats.org/officeDocument/2006/relationships/hyperlink" Target="https://www.google.com/maps?q=45.061374,9.598748&amp;t=k&amp;z=17" TargetMode="External" Id="rId15" /><Relationship Type="http://schemas.openxmlformats.org/officeDocument/2006/relationships/hyperlink" Target="https://www.google.com/maps?q=45.048813,9.773546&amp;t=k&amp;z=17" TargetMode="External" Id="rId16" /><Relationship Type="http://schemas.openxmlformats.org/officeDocument/2006/relationships/hyperlink" Target="https://www.google.com/maps?q=45.051831,9.780048&amp;t=k&amp;z=17" TargetMode="External" Id="rId17" /><Relationship Type="http://schemas.openxmlformats.org/officeDocument/2006/relationships/hyperlink" Target="https://www.google.com/maps?q=45.063027,9.943454&amp;t=k&amp;z=17" TargetMode="External" Id="rId18" /><Relationship Type="http://schemas.openxmlformats.org/officeDocument/2006/relationships/hyperlink" Target="https://www.google.com/maps?q=44.965322,9.896571&amp;t=k&amp;z=17" TargetMode="External" Id="rId19" /><Relationship Type="http://schemas.openxmlformats.org/officeDocument/2006/relationships/hyperlink" Target="https://www.google.com/maps?q=45.053872,9.758993&amp;t=k&amp;z=17" TargetMode="External" Id="rId20" /><Relationship Type="http://schemas.openxmlformats.org/officeDocument/2006/relationships/hyperlink" Target="https://www.google.com/maps?q=44.962075,9.901297&amp;t=k&amp;z=17" TargetMode="External" Id="rId21" /><Relationship Type="http://schemas.openxmlformats.org/officeDocument/2006/relationships/hyperlink" Target="https://www.google.com/maps?q=44.967203,9.897651&amp;t=k&amp;z=17" TargetMode="External" Id="rId22" /><Relationship Type="http://schemas.openxmlformats.org/officeDocument/2006/relationships/hyperlink" Target="https://www.google.com/maps?q=45.051764,9.764596&amp;t=k&amp;z=17" TargetMode="External" Id="rId23" /><Relationship Type="http://schemas.openxmlformats.org/officeDocument/2006/relationships/hyperlink" Target="https://www.google.com/maps?q=45.062611,9.666918&amp;t=k&amp;z=17" TargetMode="External" Id="rId24" /><Relationship Type="http://schemas.openxmlformats.org/officeDocument/2006/relationships/hyperlink" Target="https://www.google.com/maps?q=45.063441,9.633849&amp;t=k&amp;z=17" TargetMode="External" Id="rId25" /><Relationship Type="http://schemas.openxmlformats.org/officeDocument/2006/relationships/hyperlink" Target="https://www.google.com/maps?q=45.060433,9.683897&amp;t=k&amp;z=17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8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45" customWidth="1" min="31" max="31"/>
    <col width="16" customWidth="1" min="32" max="32"/>
    <col width="16" customWidth="1" min="33" max="33"/>
    <col width="16" customWidth="1" min="34" max="34"/>
  </cols>
  <sheetData>
    <row r="1">
      <c r="A1" s="1" t="inlineStr">
        <is>
          <t>90 terreni in Aperta Campagna lungo A1 e A21 nel Piacentino (Top 50 + 15 Extra + 5 Benchmark + 20 Estensione WMS)</t>
        </is>
      </c>
    </row>
    <row r="2">
      <c r="A2" t="inlineStr">
        <is>
          <t>Criteri: particelle agricole &gt;= 2 ha entro 300 m dall'asse di A1 o A21 (provincia di Piacenza), senza fabbricati, verificate su WMS Catasto Agenzia delle Entrate + Rete AT/MT ARERA/GSE &amp; OpenStreetMap + PVGIS JRC + VAM 2026.</t>
        </is>
      </c>
    </row>
    <row r="3">
      <c r="A3" s="2" t="inlineStr">
        <is>
          <t>Prezzo massimo (€/mq)</t>
        </is>
      </c>
      <c r="D3" s="3" t="n">
        <v>8</v>
      </c>
    </row>
    <row r="5">
      <c r="A5" s="4" t="inlineStr">
        <is>
          <t>#</t>
        </is>
      </c>
      <c r="B5" s="4" t="inlineStr">
        <is>
          <t>Origine / Coorte</t>
        </is>
      </c>
      <c r="C5" s="4" t="inlineStr">
        <is>
          <t>Priorità Visura</t>
        </is>
      </c>
      <c r="D5" s="4" t="inlineStr">
        <is>
          <t>Comune</t>
        </is>
      </c>
      <c r="E5" s="4" t="inlineStr">
        <is>
          <t>Belfiore</t>
        </is>
      </c>
      <c r="F5" s="4" t="inlineStr">
        <is>
          <t>Foglio</t>
        </is>
      </c>
      <c r="G5" s="4" t="inlineStr">
        <is>
          <t>Particella</t>
        </is>
      </c>
      <c r="H5" s="4" t="inlineStr">
        <is>
          <t>Sup. stimata (ha)</t>
        </is>
      </c>
      <c r="I5" s="4" t="inlineStr">
        <is>
          <t>di cui entro 300 m (ha)</t>
        </is>
      </c>
      <c r="J5" s="4" t="inlineStr">
        <is>
          <t>Autostrada</t>
        </is>
      </c>
      <c r="K5" s="4" t="inlineStr">
        <is>
          <t>Distanza min. asse (m)</t>
        </is>
      </c>
      <c r="L5" s="4" t="inlineStr">
        <is>
          <t>Linea AT più vicina (m)</t>
        </is>
      </c>
      <c r="M5" s="4" t="inlineStr">
        <is>
          <t>Tensione linea (kV)</t>
        </is>
      </c>
      <c r="N5" s="4" t="inlineStr">
        <is>
          <t>Stazione elettrica OSM</t>
        </is>
      </c>
      <c r="O5" s="4" t="inlineStr">
        <is>
          <t>kV stazione</t>
        </is>
      </c>
      <c r="P5" s="4" t="inlineStr">
        <is>
          <t>Distanza stazione (km)</t>
        </is>
      </c>
      <c r="Q5" s="4" t="inlineStr">
        <is>
          <t>Cabina Primaria ARERA/GSE</t>
        </is>
      </c>
      <c r="R5" s="4" t="inlineStr">
        <is>
          <t>Cavidotto MT 1.30x (m)</t>
        </is>
      </c>
      <c r="S5" s="4" t="inlineStr">
        <is>
          <t>CAPEX Allaccio TICA (€)</t>
        </is>
      </c>
      <c r="T5" s="4" t="inlineStr">
        <is>
          <t>Potenza (MWp tot)</t>
        </is>
      </c>
      <c r="U5" s="4" t="inlineStr">
        <is>
          <t>Potenza ≤300m (MWp)</t>
        </is>
      </c>
      <c r="V5" s="4" t="inlineStr">
        <is>
          <t>Producibilità Tracker (MWh/a)</t>
        </is>
      </c>
      <c r="W5" s="4" t="inlineStr">
        <is>
          <t>VAM 2026 (€/mq)</t>
        </is>
      </c>
      <c r="X5" s="4" t="inlineStr">
        <is>
          <t>Target SunPro (€/mq)</t>
        </is>
      </c>
      <c r="Y5" s="4" t="inlineStr">
        <is>
          <t>Spesa max a soglia (€)</t>
        </is>
      </c>
      <c r="Z5" s="4" t="inlineStr">
        <is>
          <t>Canone DDS 30y (€/anno)</t>
        </is>
      </c>
      <c r="AA5" s="4" t="inlineStr">
        <is>
          <t>Score SunPro</t>
        </is>
      </c>
      <c r="AB5" s="4" t="inlineStr">
        <is>
          <t>Lat</t>
        </is>
      </c>
      <c r="AC5" s="4" t="inlineStr">
        <is>
          <t>Lon</t>
        </is>
      </c>
      <c r="AD5" s="4" t="inlineStr">
        <is>
          <t>Mappa / WMS</t>
        </is>
      </c>
      <c r="AE5" s="4" t="inlineStr">
        <is>
          <t>Note</t>
        </is>
      </c>
      <c r="AF5" s="4" t="inlineStr">
        <is>
          <t>Intestatario (da visura)</t>
        </is>
      </c>
      <c r="AG5" s="4" t="inlineStr">
        <is>
          <t>Prezzo richiesto (€/mq)</t>
        </is>
      </c>
      <c r="AH5" s="4" t="inlineStr">
        <is>
          <t>Entro soglia?</t>
        </is>
      </c>
    </row>
    <row r="6">
      <c r="A6" s="5" t="n">
        <v>1</v>
      </c>
      <c r="B6" s="5" t="inlineStr">
        <is>
          <t>Top 50 Aperta Campagna</t>
        </is>
      </c>
      <c r="C6" s="5" t="inlineStr">
        <is>
          <t>🔥 Priorità 1 · Top Taglia / Rete AT Vicina</t>
        </is>
      </c>
      <c r="D6" s="5" t="inlineStr">
        <is>
          <t>Rottofreno</t>
        </is>
      </c>
      <c r="E6" s="5" t="inlineStr">
        <is>
          <t>H593</t>
        </is>
      </c>
      <c r="F6" s="5" t="n">
        <v>13</v>
      </c>
      <c r="G6" s="5" t="n">
        <v>31</v>
      </c>
      <c r="H6" s="5" t="n">
        <v>24.03</v>
      </c>
      <c r="I6" s="5" t="n">
        <v>15.52</v>
      </c>
      <c r="J6" s="5" t="inlineStr">
        <is>
          <t>A21</t>
        </is>
      </c>
      <c r="K6" s="5" t="n">
        <v>12</v>
      </c>
      <c r="L6" s="5" t="n">
        <v>1500</v>
      </c>
      <c r="M6" s="5" t="n">
        <v>132</v>
      </c>
      <c r="N6" s="5" t="inlineStr">
        <is>
          <t>Rottofreno</t>
        </is>
      </c>
      <c r="O6" s="5" t="n">
        <v>132</v>
      </c>
      <c r="P6" s="5" t="n">
        <v>2</v>
      </c>
      <c r="Q6" s="5" t="inlineStr">
        <is>
          <t>CP Rottofreno (AC001E01165)</t>
        </is>
      </c>
      <c r="R6" s="5" t="n">
        <v>1459</v>
      </c>
      <c r="S6" s="5" t="n">
        <v>139835</v>
      </c>
      <c r="T6" s="5" t="n">
        <v>20.03</v>
      </c>
      <c r="U6" s="5" t="n">
        <v>12.93</v>
      </c>
      <c r="V6" s="5" t="n">
        <v>31902</v>
      </c>
      <c r="W6" s="5" t="n">
        <v>5.65</v>
      </c>
      <c r="X6" s="5" t="n">
        <v>7.83</v>
      </c>
      <c r="Y6" s="6">
        <f>H6*10000*$D$3</f>
        <v/>
      </c>
      <c r="Z6" s="5" t="n">
        <v>72090</v>
      </c>
      <c r="AA6" s="5" t="n">
        <v>93.5</v>
      </c>
      <c r="AB6" s="5" t="n">
        <v>45.067204</v>
      </c>
      <c r="AC6" s="5" t="n">
        <v>9.559271000000001</v>
      </c>
      <c r="AD6" s="7" t="inlineStr">
        <is>
          <t>Apri Ortofoto</t>
        </is>
      </c>
      <c r="AE6" s="5" t="inlineStr">
        <is>
          <t>8,5 ha oltre i 300 m</t>
        </is>
      </c>
      <c r="AF6" s="8" t="n"/>
      <c r="AG6" s="8" t="n"/>
      <c r="AH6" s="5">
        <f>IF(AG6="","",IF(AG6&lt;=$D$3,"SÌ","NO"))</f>
        <v/>
      </c>
    </row>
    <row r="7">
      <c r="A7" s="5" t="n">
        <v>2</v>
      </c>
      <c r="B7" s="5" t="inlineStr">
        <is>
          <t>Top 50 Aperta Campagna</t>
        </is>
      </c>
      <c r="C7" s="5" t="inlineStr">
        <is>
          <t>🔥 Priorità 1 · Top Taglia / Rete AT Vicina</t>
        </is>
      </c>
      <c r="D7" s="5" t="inlineStr">
        <is>
          <t>Caorso</t>
        </is>
      </c>
      <c r="E7" s="5" t="inlineStr">
        <is>
          <t>B643</t>
        </is>
      </c>
      <c r="F7" s="5" t="n">
        <v>19</v>
      </c>
      <c r="G7" s="5" t="n">
        <v>22</v>
      </c>
      <c r="H7" s="5" t="n">
        <v>11.84</v>
      </c>
      <c r="I7" s="5" t="n">
        <v>11.84</v>
      </c>
      <c r="J7" s="5" t="inlineStr">
        <is>
          <t>A21</t>
        </is>
      </c>
      <c r="K7" s="5" t="n">
        <v>10</v>
      </c>
      <c r="L7" s="5" t="n">
        <v>1263</v>
      </c>
      <c r="M7" s="5" t="n">
        <v>132</v>
      </c>
      <c r="N7" s="5" t="inlineStr">
        <is>
          <t>Caorso</t>
        </is>
      </c>
      <c r="O7" s="5" t="n">
        <v>380</v>
      </c>
      <c r="P7" s="5" t="n">
        <v>3.5</v>
      </c>
      <c r="Q7" s="5" t="inlineStr">
        <is>
          <t>CP Pontenure (AC001E01166)</t>
        </is>
      </c>
      <c r="R7" s="5" t="n">
        <v>4550</v>
      </c>
      <c r="S7" s="5" t="n">
        <v>340750</v>
      </c>
      <c r="T7" s="5" t="n">
        <v>9.869999999999999</v>
      </c>
      <c r="U7" s="5" t="n">
        <v>9.869999999999999</v>
      </c>
      <c r="V7" s="5" t="n">
        <v>15720</v>
      </c>
      <c r="W7" s="5" t="n">
        <v>5.55</v>
      </c>
      <c r="X7" s="5" t="n">
        <v>7.7</v>
      </c>
      <c r="Y7" s="6">
        <f>H7*10000*$D$3</f>
        <v/>
      </c>
      <c r="Z7" s="5" t="n">
        <v>35520</v>
      </c>
      <c r="AA7" s="5" t="n">
        <v>81.5</v>
      </c>
      <c r="AB7" s="5" t="n">
        <v>45.04464</v>
      </c>
      <c r="AC7" s="5" t="n">
        <v>9.843602000000001</v>
      </c>
      <c r="AD7" s="7" t="inlineStr">
        <is>
          <t>Apri Ortofoto</t>
        </is>
      </c>
      <c r="AE7" s="5" t="inlineStr">
        <is>
          <t>Area produttiva a ~372 m: verificare la destinazione urbanistica</t>
        </is>
      </c>
      <c r="AF7" s="8" t="n"/>
      <c r="AG7" s="8" t="n"/>
      <c r="AH7" s="5">
        <f>IF(AG7="","",IF(AG7&lt;=$D$3,"SÌ","NO"))</f>
        <v/>
      </c>
    </row>
    <row r="8">
      <c r="A8" s="5" t="n">
        <v>3</v>
      </c>
      <c r="B8" s="5" t="inlineStr">
        <is>
          <t>Benchmark Test A1 (Pontenure-Cadeo)</t>
        </is>
      </c>
      <c r="C8" s="5" t="inlineStr">
        <is>
          <t>🔥 Priorità 1 · Top Taglia / Rete AT Vicina</t>
        </is>
      </c>
      <c r="D8" s="5" t="inlineStr">
        <is>
          <t>Cadeo</t>
        </is>
      </c>
      <c r="E8" s="5" t="inlineStr">
        <is>
          <t>B332</t>
        </is>
      </c>
      <c r="F8" s="5" t="n">
        <v>7</v>
      </c>
      <c r="G8" s="5" t="n">
        <v>77</v>
      </c>
      <c r="H8" s="5" t="n">
        <v>13.1</v>
      </c>
      <c r="I8" s="5" t="n">
        <v>11.2</v>
      </c>
      <c r="J8" s="5" t="inlineStr">
        <is>
          <t>A1</t>
        </is>
      </c>
      <c r="K8" s="5" t="n">
        <v>45</v>
      </c>
      <c r="L8" s="5" t="n">
        <v>85</v>
      </c>
      <c r="M8" s="5" t="n">
        <v>132</v>
      </c>
      <c r="N8" s="5" t="inlineStr">
        <is>
          <t>Cadeo FS</t>
        </is>
      </c>
      <c r="O8" s="5" t="n">
        <v>132</v>
      </c>
      <c r="P8" s="5" t="n">
        <v>3.1</v>
      </c>
      <c r="Q8" s="5" t="inlineStr">
        <is>
          <t>CP Pontenure 132/15 kV</t>
        </is>
      </c>
      <c r="R8" s="5" t="n">
        <v>4030</v>
      </c>
      <c r="S8" s="5" t="n">
        <v>306950</v>
      </c>
      <c r="T8" s="5" t="n">
        <v>10.92</v>
      </c>
      <c r="U8" s="5" t="n">
        <v>9.33</v>
      </c>
      <c r="V8" s="5" t="n">
        <v>17392</v>
      </c>
      <c r="W8" s="5" t="n">
        <v>5.45</v>
      </c>
      <c r="X8" s="5" t="n">
        <v>7.55</v>
      </c>
      <c r="Y8" s="6">
        <f>H8*10000*$D$3</f>
        <v/>
      </c>
      <c r="Z8" s="5" t="n">
        <v>39300</v>
      </c>
      <c r="AA8" s="5" t="n">
        <v>84</v>
      </c>
      <c r="AB8" s="5" t="n">
        <v>44.994</v>
      </c>
      <c r="AC8" s="5" t="n">
        <v>9.827500000000001</v>
      </c>
      <c r="AD8" s="7" t="inlineStr">
        <is>
          <t>Apri Ortofoto</t>
        </is>
      </c>
      <c r="AE8" s="5" t="inlineStr">
        <is>
          <t>Lotto 1 Benchmark Test A1 (contigue Part. 97, 63); sfuggito alla griglia standard perché sul bordo riquadro; 1,9 ha oltre i 300 m</t>
        </is>
      </c>
      <c r="AF8" s="8" t="n"/>
      <c r="AG8" s="8" t="n"/>
      <c r="AH8" s="5">
        <f>IF(AG8="","",IF(AG8&lt;=$D$3,"SÌ","NO"))</f>
        <v/>
      </c>
    </row>
    <row r="9">
      <c r="A9" s="5" t="n">
        <v>4</v>
      </c>
      <c r="B9" s="5" t="inlineStr">
        <is>
          <t>Estensione WMS AdE (Griglia Sfalsata)</t>
        </is>
      </c>
      <c r="C9" s="5" t="inlineStr">
        <is>
          <t>🔥 Priorità 1 · Top Taglia / Rete AT Vicina</t>
        </is>
      </c>
      <c r="D9" s="5" t="inlineStr">
        <is>
          <t>Caorso</t>
        </is>
      </c>
      <c r="E9" s="5" t="inlineStr">
        <is>
          <t>B643</t>
        </is>
      </c>
      <c r="F9" s="5" t="n">
        <v>19</v>
      </c>
      <c r="G9" s="5" t="n">
        <v>20</v>
      </c>
      <c r="H9" s="5" t="n">
        <v>19.92</v>
      </c>
      <c r="I9" s="5" t="n">
        <v>10.53</v>
      </c>
      <c r="J9" s="5" t="inlineStr">
        <is>
          <t>A21</t>
        </is>
      </c>
      <c r="K9" s="5" t="n">
        <v>22</v>
      </c>
      <c r="L9" s="5" t="n">
        <v>1135</v>
      </c>
      <c r="M9" s="5" t="n">
        <v>132</v>
      </c>
      <c r="N9" s="5" t="inlineStr">
        <is>
          <t>Caorso</t>
        </is>
      </c>
      <c r="O9" s="5" t="n">
        <v>380</v>
      </c>
      <c r="P9" s="5" t="n">
        <v>2.8</v>
      </c>
      <c r="Q9" s="5" t="inlineStr">
        <is>
          <t>CP Monticelli d'Ongina (AC001E01173)</t>
        </is>
      </c>
      <c r="R9" s="5" t="n">
        <v>3640</v>
      </c>
      <c r="S9" s="5" t="n">
        <v>281600</v>
      </c>
      <c r="T9" s="5" t="n">
        <v>16.6</v>
      </c>
      <c r="U9" s="5" t="n">
        <v>8.779999999999999</v>
      </c>
      <c r="V9" s="5" t="n">
        <v>26439</v>
      </c>
      <c r="W9" s="5" t="n">
        <v>5.55</v>
      </c>
      <c r="X9" s="5" t="n">
        <v>7.7</v>
      </c>
      <c r="Y9" s="6">
        <f>H9*10000*$D$3</f>
        <v/>
      </c>
      <c r="Z9" s="5" t="n">
        <v>59760</v>
      </c>
      <c r="AA9" s="5" t="n">
        <v>82</v>
      </c>
      <c r="AB9" s="5" t="n">
        <v>45.050136</v>
      </c>
      <c r="AC9" s="5" t="n">
        <v>9.850313999999999</v>
      </c>
      <c r="AD9" s="7" t="inlineStr">
        <is>
          <t>Apri Ortofoto</t>
        </is>
      </c>
      <c r="AE9" s="5" t="inlineStr">
        <is>
          <t>9,4 ha oltre i 300 m</t>
        </is>
      </c>
      <c r="AF9" s="8" t="n"/>
      <c r="AG9" s="8" t="n"/>
      <c r="AH9" s="5">
        <f>IF(AG9="","",IF(AG9&lt;=$D$3,"SÌ","NO"))</f>
        <v/>
      </c>
    </row>
    <row r="10">
      <c r="A10" s="5" t="n">
        <v>5</v>
      </c>
      <c r="B10" s="5" t="inlineStr">
        <is>
          <t>Estensione WMS AdE (Griglia Sfalsata)</t>
        </is>
      </c>
      <c r="C10" s="5" t="inlineStr">
        <is>
          <t>🔥 Priorità 1 · Top Taglia / Rete AT Vicina</t>
        </is>
      </c>
      <c r="D10" s="5" t="inlineStr">
        <is>
          <t>Cadeo</t>
        </is>
      </c>
      <c r="E10" s="5" t="inlineStr">
        <is>
          <t>B332</t>
        </is>
      </c>
      <c r="F10" s="5" t="n">
        <v>7</v>
      </c>
      <c r="G10" s="5" t="n">
        <v>83</v>
      </c>
      <c r="H10" s="5" t="n">
        <v>18.51</v>
      </c>
      <c r="I10" s="5" t="n">
        <v>9.640000000000001</v>
      </c>
      <c r="J10" s="5" t="inlineStr">
        <is>
          <t>A1</t>
        </is>
      </c>
      <c r="K10" s="5" t="n">
        <v>16</v>
      </c>
      <c r="L10" s="5" t="n">
        <v>68</v>
      </c>
      <c r="M10" s="5" t="n">
        <v>132</v>
      </c>
      <c r="N10" s="5" t="inlineStr">
        <is>
          <t>Cadeo FS</t>
        </is>
      </c>
      <c r="O10" s="5" t="n">
        <v>132</v>
      </c>
      <c r="P10" s="5" t="n">
        <v>3</v>
      </c>
      <c r="Q10" s="5" t="inlineStr">
        <is>
          <t>CP Pontenure 132/15 kV</t>
        </is>
      </c>
      <c r="R10" s="5" t="n">
        <v>3900</v>
      </c>
      <c r="S10" s="5" t="n">
        <v>298500</v>
      </c>
      <c r="T10" s="5" t="n">
        <v>15.43</v>
      </c>
      <c r="U10" s="5" t="n">
        <v>8.029999999999999</v>
      </c>
      <c r="V10" s="5" t="n">
        <v>24575</v>
      </c>
      <c r="W10" s="5" t="n">
        <v>5.45</v>
      </c>
      <c r="X10" s="5" t="n">
        <v>7.55</v>
      </c>
      <c r="Y10" s="6">
        <f>H10*10000*$D$3</f>
        <v/>
      </c>
      <c r="Z10" s="5" t="n">
        <v>55530</v>
      </c>
      <c r="AA10" s="5" t="n">
        <v>84.5</v>
      </c>
      <c r="AB10" s="5" t="n">
        <v>44.991964</v>
      </c>
      <c r="AC10" s="5" t="n">
        <v>9.828073</v>
      </c>
      <c r="AD10" s="7" t="inlineStr">
        <is>
          <t>Apri Ortofoto</t>
        </is>
      </c>
      <c r="AE10" s="5" t="inlineStr">
        <is>
          <t>Linea AT 132 kV a ~68 m; 8,9 ha oltre i 300 m</t>
        </is>
      </c>
      <c r="AF10" s="8" t="n"/>
      <c r="AG10" s="8" t="n"/>
      <c r="AH10" s="5">
        <f>IF(AG10="","",IF(AG10&lt;=$D$3,"SÌ","NO"))</f>
        <v/>
      </c>
    </row>
    <row r="11">
      <c r="A11" s="5" t="n">
        <v>6</v>
      </c>
      <c r="B11" s="5" t="inlineStr">
        <is>
          <t>Estensione WMS AdE (Griglia Sfalsata)</t>
        </is>
      </c>
      <c r="C11" s="5" t="inlineStr">
        <is>
          <t>🔥 Priorità 1 · Top Taglia / Rete AT Vicina</t>
        </is>
      </c>
      <c r="D11" s="5" t="inlineStr">
        <is>
          <t>Rottofreno</t>
        </is>
      </c>
      <c r="E11" s="5" t="inlineStr">
        <is>
          <t>H593</t>
        </is>
      </c>
      <c r="F11" s="5" t="n">
        <v>14</v>
      </c>
      <c r="G11" s="5" t="n">
        <v>124</v>
      </c>
      <c r="H11" s="5" t="n">
        <v>10.02</v>
      </c>
      <c r="I11" s="5" t="n">
        <v>8.94</v>
      </c>
      <c r="J11" s="5" t="inlineStr">
        <is>
          <t>A21</t>
        </is>
      </c>
      <c r="K11" s="5" t="n">
        <v>13</v>
      </c>
      <c r="L11" s="5" t="n">
        <v>1527</v>
      </c>
      <c r="M11" s="5" t="n">
        <v>132</v>
      </c>
      <c r="N11" s="5" t="inlineStr">
        <is>
          <t>Rottofreno</t>
        </is>
      </c>
      <c r="O11" s="5" t="n">
        <v>132</v>
      </c>
      <c r="P11" s="5" t="n">
        <v>1.5</v>
      </c>
      <c r="Q11" s="5" t="inlineStr">
        <is>
          <t>CP Rottofreno (AC001E01165)</t>
        </is>
      </c>
      <c r="R11" s="5" t="n">
        <v>1336</v>
      </c>
      <c r="S11" s="5" t="n">
        <v>131840</v>
      </c>
      <c r="T11" s="5" t="n">
        <v>8.35</v>
      </c>
      <c r="U11" s="5" t="n">
        <v>7.45</v>
      </c>
      <c r="V11" s="5" t="n">
        <v>13299</v>
      </c>
      <c r="W11" s="5" t="n">
        <v>5.65</v>
      </c>
      <c r="X11" s="5" t="n">
        <v>7.83</v>
      </c>
      <c r="Y11" s="6">
        <f>H11*10000*$D$3</f>
        <v/>
      </c>
      <c r="Z11" s="5" t="n">
        <v>30060</v>
      </c>
      <c r="AA11" s="5" t="n">
        <v>93</v>
      </c>
      <c r="AB11" s="5" t="n">
        <v>45.06626</v>
      </c>
      <c r="AC11" s="5" t="n">
        <v>9.569872999999999</v>
      </c>
      <c r="AD11" s="7" t="inlineStr">
        <is>
          <t>Apri Ortofoto</t>
        </is>
      </c>
      <c r="AE11" s="5" t="inlineStr">
        <is>
          <t>Stazione elettrica Rottofreno a ~1,5 km; 1,1 ha oltre i 300 m</t>
        </is>
      </c>
      <c r="AF11" s="8" t="n"/>
      <c r="AG11" s="8" t="n"/>
      <c r="AH11" s="5">
        <f>IF(AG11="","",IF(AG11&lt;=$D$3,"SÌ","NO"))</f>
        <v/>
      </c>
    </row>
    <row r="12">
      <c r="A12" s="5" t="n">
        <v>7</v>
      </c>
      <c r="B12" s="5" t="inlineStr">
        <is>
          <t>Estensione WMS AdE (Griglia Sfalsata)</t>
        </is>
      </c>
      <c r="C12" s="5" t="inlineStr">
        <is>
          <t>🔥 Priorità 1 · Top Taglia / Rete AT Vicina</t>
        </is>
      </c>
      <c r="D12" s="5" t="inlineStr">
        <is>
          <t>Cadeo</t>
        </is>
      </c>
      <c r="E12" s="5" t="inlineStr">
        <is>
          <t>B332</t>
        </is>
      </c>
      <c r="F12" s="5" t="n">
        <v>7</v>
      </c>
      <c r="G12" s="5" t="n">
        <v>162</v>
      </c>
      <c r="H12" s="5" t="n">
        <v>9.720000000000001</v>
      </c>
      <c r="I12" s="5" t="n">
        <v>8.83</v>
      </c>
      <c r="J12" s="5" t="inlineStr">
        <is>
          <t>A1</t>
        </is>
      </c>
      <c r="K12" s="5" t="n">
        <v>73</v>
      </c>
      <c r="L12" s="5" t="n">
        <v>121</v>
      </c>
      <c r="M12" s="5" t="n">
        <v>132</v>
      </c>
      <c r="N12" s="5" t="inlineStr">
        <is>
          <t>Cadeo FS</t>
        </is>
      </c>
      <c r="O12" s="5" t="n">
        <v>132</v>
      </c>
      <c r="P12" s="5" t="n">
        <v>3.3</v>
      </c>
      <c r="Q12" s="5" t="inlineStr">
        <is>
          <t>CP Pontenure 132/15 kV</t>
        </is>
      </c>
      <c r="R12" s="5" t="n">
        <v>4290</v>
      </c>
      <c r="S12" s="5" t="n">
        <v>323850</v>
      </c>
      <c r="T12" s="5" t="n">
        <v>8.1</v>
      </c>
      <c r="U12" s="5" t="n">
        <v>7.36</v>
      </c>
      <c r="V12" s="5" t="n">
        <v>12901</v>
      </c>
      <c r="W12" s="5" t="n">
        <v>5.45</v>
      </c>
      <c r="X12" s="5" t="n">
        <v>7.55</v>
      </c>
      <c r="Y12" s="6">
        <f>H12*10000*$D$3</f>
        <v/>
      </c>
      <c r="Z12" s="5" t="n">
        <v>29160</v>
      </c>
      <c r="AA12" s="5" t="n">
        <v>83.5</v>
      </c>
      <c r="AB12" s="5" t="n">
        <v>44.995798</v>
      </c>
      <c r="AC12" s="5" t="n">
        <v>9.831310999999999</v>
      </c>
      <c r="AD12" s="7" t="inlineStr">
        <is>
          <t>Apri Ortofoto</t>
        </is>
      </c>
      <c r="AE12" s="5" t="inlineStr">
        <is>
          <t>Linea AT 132 kV a ~121 m; 0,9 ha oltre i 300 m</t>
        </is>
      </c>
      <c r="AF12" s="8" t="n"/>
      <c r="AG12" s="8" t="n"/>
      <c r="AH12" s="5">
        <f>IF(AG12="","",IF(AG12&lt;=$D$3,"SÌ","NO"))</f>
        <v/>
      </c>
    </row>
    <row r="13">
      <c r="A13" s="5" t="n">
        <v>8</v>
      </c>
      <c r="B13" s="5" t="inlineStr">
        <is>
          <t>Top 50 Aperta Campagna</t>
        </is>
      </c>
      <c r="C13" s="5" t="inlineStr">
        <is>
          <t>🔥 Priorità 1 · Top Taglia / Rete AT Vicina</t>
        </is>
      </c>
      <c r="D13" s="5" t="inlineStr">
        <is>
          <t>Rottofreno</t>
        </is>
      </c>
      <c r="E13" s="5" t="inlineStr">
        <is>
          <t>H593</t>
        </is>
      </c>
      <c r="F13" s="5" t="n">
        <v>15</v>
      </c>
      <c r="G13" s="5" t="n">
        <v>82</v>
      </c>
      <c r="H13" s="5" t="n">
        <v>10.67</v>
      </c>
      <c r="I13" s="5" t="n">
        <v>8.74</v>
      </c>
      <c r="J13" s="5" t="inlineStr">
        <is>
          <t>A21</t>
        </is>
      </c>
      <c r="K13" s="5" t="n">
        <v>11</v>
      </c>
      <c r="L13" s="5" t="n">
        <v>1276</v>
      </c>
      <c r="M13" s="5" t="n">
        <v>132</v>
      </c>
      <c r="N13" s="5" t="inlineStr">
        <is>
          <t>Rottofreno</t>
        </is>
      </c>
      <c r="O13" s="5" t="n">
        <v>132</v>
      </c>
      <c r="P13" s="5" t="n">
        <v>1.4</v>
      </c>
      <c r="Q13" s="5" t="inlineStr">
        <is>
          <t>CP Rottofreno (AC001E01165)</t>
        </is>
      </c>
      <c r="R13" s="5" t="n">
        <v>1820</v>
      </c>
      <c r="S13" s="5" t="n">
        <v>163300</v>
      </c>
      <c r="T13" s="5" t="n">
        <v>8.890000000000001</v>
      </c>
      <c r="U13" s="5" t="n">
        <v>7.28</v>
      </c>
      <c r="V13" s="5" t="n">
        <v>14159</v>
      </c>
      <c r="W13" s="5" t="n">
        <v>5.65</v>
      </c>
      <c r="X13" s="5" t="n">
        <v>7.83</v>
      </c>
      <c r="Y13" s="6">
        <f>H13*10000*$D$3</f>
        <v/>
      </c>
      <c r="Z13" s="5" t="n">
        <v>32010</v>
      </c>
      <c r="AA13" s="5" t="n">
        <v>90.5</v>
      </c>
      <c r="AB13" s="5" t="n">
        <v>45.066237</v>
      </c>
      <c r="AC13" s="5" t="n">
        <v>9.579211000000001</v>
      </c>
      <c r="AD13" s="7" t="inlineStr">
        <is>
          <t>Apri Ortofoto</t>
        </is>
      </c>
      <c r="AE13" s="5" t="inlineStr">
        <is>
          <t>Stazione elettrica Rottofreno a ~1,4 km; 1,9 ha oltre i 300 m</t>
        </is>
      </c>
      <c r="AF13" s="8" t="n"/>
      <c r="AG13" s="8" t="n"/>
      <c r="AH13" s="5">
        <f>IF(AG13="","",IF(AG13&lt;=$D$3,"SÌ","NO"))</f>
        <v/>
      </c>
    </row>
    <row r="14">
      <c r="A14" s="5" t="n">
        <v>9</v>
      </c>
      <c r="B14" s="5" t="inlineStr">
        <is>
          <t>Top 50 Aperta Campagna</t>
        </is>
      </c>
      <c r="C14" s="5" t="inlineStr">
        <is>
          <t>🔥 Priorità 1 · Top Taglia / Rete AT Vicina</t>
        </is>
      </c>
      <c r="D14" s="5" t="inlineStr">
        <is>
          <t>Caorso</t>
        </is>
      </c>
      <c r="E14" s="5" t="inlineStr">
        <is>
          <t>B643</t>
        </is>
      </c>
      <c r="F14" s="5" t="n">
        <v>20</v>
      </c>
      <c r="G14" s="5" t="n">
        <v>213</v>
      </c>
      <c r="H14" s="5" t="n">
        <v>12.93</v>
      </c>
      <c r="I14" s="5" t="n">
        <v>8.720000000000001</v>
      </c>
      <c r="J14" s="5" t="inlineStr">
        <is>
          <t>A21</t>
        </is>
      </c>
      <c r="K14" s="5" t="n">
        <v>14</v>
      </c>
      <c r="L14" s="5" t="n">
        <v>1415</v>
      </c>
      <c r="M14" s="5" t="n">
        <v>132</v>
      </c>
      <c r="N14" s="5" t="inlineStr">
        <is>
          <t>Caorso</t>
        </is>
      </c>
      <c r="O14" s="5" t="n">
        <v>380</v>
      </c>
      <c r="P14" s="5" t="n">
        <v>2</v>
      </c>
      <c r="Q14" s="5" t="inlineStr">
        <is>
          <t>CP Monticelli d'Ongina (AC001E01173)</t>
        </is>
      </c>
      <c r="R14" s="5" t="n">
        <v>2600</v>
      </c>
      <c r="S14" s="5" t="n">
        <v>214000</v>
      </c>
      <c r="T14" s="5" t="n">
        <v>10.78</v>
      </c>
      <c r="U14" s="5" t="n">
        <v>7.27</v>
      </c>
      <c r="V14" s="5" t="n">
        <v>17169</v>
      </c>
      <c r="W14" s="5" t="n">
        <v>5.55</v>
      </c>
      <c r="X14" s="5" t="n">
        <v>7.7</v>
      </c>
      <c r="Y14" s="6">
        <f>H14*10000*$D$3</f>
        <v/>
      </c>
      <c r="Z14" s="5" t="n">
        <v>38790</v>
      </c>
      <c r="AA14" s="5" t="n">
        <v>86.5</v>
      </c>
      <c r="AB14" s="5" t="n">
        <v>45.052923</v>
      </c>
      <c r="AC14" s="5" t="n">
        <v>9.860662</v>
      </c>
      <c r="AD14" s="7" t="inlineStr">
        <is>
          <t>Apri Ortofoto</t>
        </is>
      </c>
      <c r="AE14" s="5" t="inlineStr">
        <is>
          <t>4,2 ha oltre i 300 m</t>
        </is>
      </c>
      <c r="AF14" s="8" t="n"/>
      <c r="AG14" s="8" t="n"/>
      <c r="AH14" s="5">
        <f>IF(AG14="","",IF(AG14&lt;=$D$3,"SÌ","NO"))</f>
        <v/>
      </c>
    </row>
    <row r="15">
      <c r="A15" s="5" t="n">
        <v>10</v>
      </c>
      <c r="B15" s="5" t="inlineStr">
        <is>
          <t>Estensione WMS AdE (Griglia Sfalsata)</t>
        </is>
      </c>
      <c r="C15" s="5" t="inlineStr">
        <is>
          <t>🔥 Priorità 1 · Top Taglia / Rete AT Vicina</t>
        </is>
      </c>
      <c r="D15" s="5" t="inlineStr">
        <is>
          <t>Rottofreno</t>
        </is>
      </c>
      <c r="E15" s="5" t="inlineStr">
        <is>
          <t>H593</t>
        </is>
      </c>
      <c r="F15" s="5" t="n">
        <v>14</v>
      </c>
      <c r="G15" s="5" t="n">
        <v>29</v>
      </c>
      <c r="H15" s="5" t="n">
        <v>9.529999999999999</v>
      </c>
      <c r="I15" s="5" t="n">
        <v>8.27</v>
      </c>
      <c r="J15" s="5" t="inlineStr">
        <is>
          <t>A21</t>
        </is>
      </c>
      <c r="K15" s="5" t="n">
        <v>16</v>
      </c>
      <c r="L15" s="5" t="n">
        <v>1393</v>
      </c>
      <c r="M15" s="5" t="n">
        <v>132</v>
      </c>
      <c r="N15" s="5" t="inlineStr">
        <is>
          <t>Rottofreno</t>
        </is>
      </c>
      <c r="O15" s="5" t="n">
        <v>132</v>
      </c>
      <c r="P15" s="5" t="n">
        <v>1.4</v>
      </c>
      <c r="Q15" s="5" t="inlineStr">
        <is>
          <t>CP Rottofreno (AC001E01165)</t>
        </is>
      </c>
      <c r="R15" s="5" t="n">
        <v>798</v>
      </c>
      <c r="S15" s="5" t="n">
        <v>96870</v>
      </c>
      <c r="T15" s="5" t="n">
        <v>7.94</v>
      </c>
      <c r="U15" s="5" t="n">
        <v>6.89</v>
      </c>
      <c r="V15" s="5" t="n">
        <v>12646</v>
      </c>
      <c r="W15" s="5" t="n">
        <v>5.65</v>
      </c>
      <c r="X15" s="5" t="n">
        <v>7.83</v>
      </c>
      <c r="Y15" s="6">
        <f>H15*10000*$D$3</f>
        <v/>
      </c>
      <c r="Z15" s="5" t="n">
        <v>28590</v>
      </c>
      <c r="AA15" s="5" t="n">
        <v>96.5</v>
      </c>
      <c r="AB15" s="5" t="n">
        <v>45.063272</v>
      </c>
      <c r="AC15" s="5" t="n">
        <v>9.565766999999999</v>
      </c>
      <c r="AD15" s="7" t="inlineStr">
        <is>
          <t>Apri Ortofoto</t>
        </is>
      </c>
      <c r="AE15" s="5" t="inlineStr">
        <is>
          <t>Stazione elettrica Rottofreno a ~1,4 km; 1,3 ha oltre i 300 m</t>
        </is>
      </c>
      <c r="AF15" s="8" t="n"/>
      <c r="AG15" s="8" t="n"/>
      <c r="AH15" s="5">
        <f>IF(AG15="","",IF(AG15&lt;=$D$3,"SÌ","NO"))</f>
        <v/>
      </c>
    </row>
    <row r="16">
      <c r="A16" s="5" t="n">
        <v>11</v>
      </c>
      <c r="B16" s="5" t="inlineStr">
        <is>
          <t>Top 50 Aperta Campagna</t>
        </is>
      </c>
      <c r="C16" s="5" t="inlineStr">
        <is>
          <t>🔥 Priorità 1 · Top Taglia / Rete AT Vicina</t>
        </is>
      </c>
      <c r="D16" s="5" t="inlineStr">
        <is>
          <t>San Pietro in Cerro</t>
        </is>
      </c>
      <c r="E16" s="5" t="inlineStr">
        <is>
          <t>G788</t>
        </is>
      </c>
      <c r="F16" s="5" t="n">
        <v>2</v>
      </c>
      <c r="G16" s="5" t="n">
        <v>1</v>
      </c>
      <c r="H16" s="5" t="n">
        <v>8.289999999999999</v>
      </c>
      <c r="I16" s="5" t="n">
        <v>8.27</v>
      </c>
      <c r="J16" s="5" t="inlineStr">
        <is>
          <t>A21</t>
        </is>
      </c>
      <c r="K16" s="5" t="n">
        <v>19</v>
      </c>
      <c r="L16" s="5" t="n">
        <v>49</v>
      </c>
      <c r="M16" s="5" t="n">
        <v>132</v>
      </c>
      <c r="N16" s="5" t="inlineStr">
        <is>
          <t>Monticelli FS</t>
        </is>
      </c>
      <c r="O16" s="5" t="n">
        <v>132</v>
      </c>
      <c r="P16" s="5" t="n">
        <v>0.2</v>
      </c>
      <c r="Q16" s="5" t="inlineStr">
        <is>
          <t>CP Monticelli d'Ongina (AC001E01173)</t>
        </is>
      </c>
      <c r="R16" s="5" t="n">
        <v>260</v>
      </c>
      <c r="S16" s="5" t="n">
        <v>61900</v>
      </c>
      <c r="T16" s="5" t="n">
        <v>6.91</v>
      </c>
      <c r="U16" s="5" t="n">
        <v>6.89</v>
      </c>
      <c r="V16" s="5" t="n">
        <v>11006</v>
      </c>
      <c r="W16" s="5" t="n">
        <v>5.5</v>
      </c>
      <c r="X16" s="5" t="n">
        <v>7.63</v>
      </c>
      <c r="Y16" s="6">
        <f>H16*10000*$D$3</f>
        <v/>
      </c>
      <c r="Z16" s="5" t="n">
        <v>24870</v>
      </c>
      <c r="AA16" s="5" t="n">
        <v>99.5</v>
      </c>
      <c r="AB16" s="5" t="n">
        <v>45.059487</v>
      </c>
      <c r="AC16" s="5" t="n">
        <v>9.919453000000001</v>
      </c>
      <c r="AD16" s="7" t="inlineStr">
        <is>
          <t>Apri Ortofoto</t>
        </is>
      </c>
      <c r="AE16" s="5" t="inlineStr">
        <is>
          <t>Linea AT 132 kV a ~49 m; Stazione elettrica Monticelli FS a ~0,2 km</t>
        </is>
      </c>
      <c r="AF16" s="8" t="n"/>
      <c r="AG16" s="8" t="n"/>
      <c r="AH16" s="5">
        <f>IF(AG16="","",IF(AG16&lt;=$D$3,"SÌ","NO"))</f>
        <v/>
      </c>
    </row>
    <row r="17">
      <c r="A17" s="5" t="n">
        <v>12</v>
      </c>
      <c r="B17" s="5" t="inlineStr">
        <is>
          <t>Estensione WMS AdE (Griglia Sfalsata)</t>
        </is>
      </c>
      <c r="C17" s="5" t="inlineStr">
        <is>
          <t>🔥 Priorità 1 · Top Taglia / Rete AT Vicina</t>
        </is>
      </c>
      <c r="D17" s="5" t="inlineStr">
        <is>
          <t>Rottofreno</t>
        </is>
      </c>
      <c r="E17" s="5" t="inlineStr">
        <is>
          <t>H593</t>
        </is>
      </c>
      <c r="F17" s="5" t="n">
        <v>15</v>
      </c>
      <c r="G17" s="5" t="n">
        <v>4</v>
      </c>
      <c r="H17" s="5" t="n">
        <v>21.72</v>
      </c>
      <c r="I17" s="5" t="n">
        <v>8.08</v>
      </c>
      <c r="J17" s="5" t="inlineStr">
        <is>
          <t>A21</t>
        </is>
      </c>
      <c r="K17" s="5" t="n">
        <v>103</v>
      </c>
      <c r="L17" s="5" t="n">
        <v>1645</v>
      </c>
      <c r="M17" s="5" t="n">
        <v>132</v>
      </c>
      <c r="N17" s="5" t="inlineStr">
        <is>
          <t>Rottofreno</t>
        </is>
      </c>
      <c r="O17" s="5" t="n">
        <v>132</v>
      </c>
      <c r="P17" s="5" t="n">
        <v>1.7</v>
      </c>
      <c r="Q17" s="5" t="inlineStr">
        <is>
          <t>CP Rottofreno (AC001E01165)</t>
        </is>
      </c>
      <c r="R17" s="5" t="n">
        <v>1742</v>
      </c>
      <c r="S17" s="5" t="n">
        <v>158230</v>
      </c>
      <c r="T17" s="5" t="n">
        <v>18.1</v>
      </c>
      <c r="U17" s="5" t="n">
        <v>6.73</v>
      </c>
      <c r="V17" s="5" t="n">
        <v>28828</v>
      </c>
      <c r="W17" s="5" t="n">
        <v>5.65</v>
      </c>
      <c r="X17" s="5" t="n">
        <v>7.83</v>
      </c>
      <c r="Y17" s="6">
        <f>H17*10000*$D$3</f>
        <v/>
      </c>
      <c r="Z17" s="5" t="n">
        <v>65160</v>
      </c>
      <c r="AA17" s="5" t="n">
        <v>91</v>
      </c>
      <c r="AB17" s="5" t="n">
        <v>45.068114</v>
      </c>
      <c r="AC17" s="5" t="n">
        <v>9.573416999999999</v>
      </c>
      <c r="AD17" s="7" t="inlineStr">
        <is>
          <t>Apri Ortofoto</t>
        </is>
      </c>
      <c r="AE17" s="5" t="inlineStr">
        <is>
          <t>Stazione elettrica Rottofreno a ~1,7 km; 13,6 ha oltre i 300 m</t>
        </is>
      </c>
      <c r="AF17" s="8" t="n"/>
      <c r="AG17" s="8" t="n"/>
      <c r="AH17" s="5">
        <f>IF(AG17="","",IF(AG17&lt;=$D$3,"SÌ","NO"))</f>
        <v/>
      </c>
    </row>
    <row r="18">
      <c r="A18" s="5" t="n">
        <v>13</v>
      </c>
      <c r="B18" s="5" t="inlineStr">
        <is>
          <t>Top 50 Aperta Campagna</t>
        </is>
      </c>
      <c r="C18" s="5" t="inlineStr">
        <is>
          <t>🔥 Priorità 1 · Top Taglia / Rete AT Vicina</t>
        </is>
      </c>
      <c r="D18" s="5" t="inlineStr">
        <is>
          <t>Rottofreno</t>
        </is>
      </c>
      <c r="E18" s="5" t="inlineStr">
        <is>
          <t>H593</t>
        </is>
      </c>
      <c r="F18" s="5" t="n">
        <v>20</v>
      </c>
      <c r="G18" s="5" t="n">
        <v>415</v>
      </c>
      <c r="H18" s="5" t="n">
        <v>9.789999999999999</v>
      </c>
      <c r="I18" s="5" t="n">
        <v>7.73</v>
      </c>
      <c r="J18" s="5" t="inlineStr">
        <is>
          <t>A21</t>
        </is>
      </c>
      <c r="K18" s="5" t="n">
        <v>14</v>
      </c>
      <c r="L18" s="5" t="n">
        <v>1228</v>
      </c>
      <c r="M18" s="5" t="n">
        <v>132</v>
      </c>
      <c r="N18" s="5" t="inlineStr">
        <is>
          <t>Edison Sarmato G1</t>
        </is>
      </c>
      <c r="O18" s="5" t="n">
        <v>220</v>
      </c>
      <c r="P18" s="5" t="n">
        <v>2.9</v>
      </c>
      <c r="Q18" s="5" t="inlineStr">
        <is>
          <t>CP Rottofreno (AC001E01165)</t>
        </is>
      </c>
      <c r="R18" s="5" t="n">
        <v>2504</v>
      </c>
      <c r="S18" s="5" t="n">
        <v>207760</v>
      </c>
      <c r="T18" s="5" t="n">
        <v>8.16</v>
      </c>
      <c r="U18" s="5" t="n">
        <v>6.44</v>
      </c>
      <c r="V18" s="5" t="n">
        <v>12996</v>
      </c>
      <c r="W18" s="5" t="n">
        <v>5.65</v>
      </c>
      <c r="X18" s="5" t="n">
        <v>7.83</v>
      </c>
      <c r="Y18" s="6">
        <f>H18*10000*$D$3</f>
        <v/>
      </c>
      <c r="Z18" s="5" t="n">
        <v>29370</v>
      </c>
      <c r="AA18" s="5" t="n">
        <v>86</v>
      </c>
      <c r="AB18" s="5" t="n">
        <v>45.063751</v>
      </c>
      <c r="AC18" s="5" t="n">
        <v>9.54148</v>
      </c>
      <c r="AD18" s="7" t="inlineStr">
        <is>
          <t>Apri Ortofoto</t>
        </is>
      </c>
      <c r="AE18" s="5" t="inlineStr">
        <is>
          <t>2,1 ha oltre i 300 m</t>
        </is>
      </c>
      <c r="AF18" s="8" t="n"/>
      <c r="AG18" s="8" t="n"/>
      <c r="AH18" s="5">
        <f>IF(AG18="","",IF(AG18&lt;=$D$3,"SÌ","NO"))</f>
        <v/>
      </c>
    </row>
    <row r="19">
      <c r="A19" s="5" t="n">
        <v>14</v>
      </c>
      <c r="B19" s="5" t="inlineStr">
        <is>
          <t>Top 50 Aperta Campagna</t>
        </is>
      </c>
      <c r="C19" s="5" t="inlineStr">
        <is>
          <t>🔥 Priorità 1 · Top Taglia / Rete AT Vicina</t>
        </is>
      </c>
      <c r="D19" s="5" t="inlineStr">
        <is>
          <t>Caorso</t>
        </is>
      </c>
      <c r="E19" s="5" t="inlineStr">
        <is>
          <t>B643</t>
        </is>
      </c>
      <c r="F19" s="5" t="n">
        <v>19</v>
      </c>
      <c r="G19" s="5" t="n">
        <v>55</v>
      </c>
      <c r="H19" s="5" t="n">
        <v>11.65</v>
      </c>
      <c r="I19" s="5" t="n">
        <v>7.69</v>
      </c>
      <c r="J19" s="5" t="inlineStr">
        <is>
          <t>A21</t>
        </is>
      </c>
      <c r="K19" s="5" t="n">
        <v>79</v>
      </c>
      <c r="L19" s="5" t="n">
        <v>1617</v>
      </c>
      <c r="M19" s="5" t="n">
        <v>132</v>
      </c>
      <c r="N19" s="5" t="inlineStr">
        <is>
          <t>Caorso</t>
        </is>
      </c>
      <c r="O19" s="5" t="n">
        <v>380</v>
      </c>
      <c r="P19" s="5" t="n">
        <v>3.1</v>
      </c>
      <c r="Q19" s="5" t="inlineStr">
        <is>
          <t>CP Cortemaggiore (AC001E01172)</t>
        </is>
      </c>
      <c r="R19" s="5" t="n">
        <v>4030</v>
      </c>
      <c r="S19" s="5" t="n">
        <v>306950</v>
      </c>
      <c r="T19" s="5" t="n">
        <v>9.710000000000001</v>
      </c>
      <c r="U19" s="5" t="n">
        <v>6.41</v>
      </c>
      <c r="V19" s="5" t="n">
        <v>15465</v>
      </c>
      <c r="W19" s="5" t="n">
        <v>5.55</v>
      </c>
      <c r="X19" s="5" t="n">
        <v>7.7</v>
      </c>
      <c r="Y19" s="6">
        <f>H19*10000*$D$3</f>
        <v/>
      </c>
      <c r="Z19" s="5" t="n">
        <v>34950</v>
      </c>
      <c r="AA19" s="5" t="n">
        <v>81.5</v>
      </c>
      <c r="AB19" s="5" t="n">
        <v>45.045056</v>
      </c>
      <c r="AC19" s="5" t="n">
        <v>9.851336</v>
      </c>
      <c r="AD19" s="7" t="inlineStr">
        <is>
          <t>Apri Ortofoto</t>
        </is>
      </c>
      <c r="AE19" s="5" t="inlineStr">
        <is>
          <t>Area residenziale a ~334 m: verificare la destinazione urbanistica; 4,0 ha oltre i 300 m</t>
        </is>
      </c>
      <c r="AF19" s="8" t="n"/>
      <c r="AG19" s="8" t="n"/>
      <c r="AH19" s="5">
        <f>IF(AG19="","",IF(AG19&lt;=$D$3,"SÌ","NO"))</f>
        <v/>
      </c>
    </row>
    <row r="20">
      <c r="A20" s="5" t="n">
        <v>15</v>
      </c>
      <c r="B20" s="5" t="inlineStr">
        <is>
          <t>Top 50 Aperta Campagna</t>
        </is>
      </c>
      <c r="C20" s="5" t="inlineStr">
        <is>
          <t>🔥 Priorità 1 · Top Taglia / Rete AT Vicina</t>
        </is>
      </c>
      <c r="D20" s="5" t="inlineStr">
        <is>
          <t>Calendasco</t>
        </is>
      </c>
      <c r="E20" s="5" t="inlineStr">
        <is>
          <t>B405</t>
        </is>
      </c>
      <c r="F20" s="5" t="n">
        <v>31</v>
      </c>
      <c r="G20" s="5" t="n">
        <v>79</v>
      </c>
      <c r="H20" s="5" t="n">
        <v>12.09</v>
      </c>
      <c r="I20" s="5" t="n">
        <v>7.42</v>
      </c>
      <c r="J20" s="5" t="inlineStr">
        <is>
          <t>A21</t>
        </is>
      </c>
      <c r="K20" s="5" t="n">
        <v>10</v>
      </c>
      <c r="L20" s="5" t="n">
        <v>192</v>
      </c>
      <c r="M20" s="5" t="n">
        <v>132</v>
      </c>
      <c r="N20" s="5" t="inlineStr">
        <is>
          <t>(senza nome)</t>
        </is>
      </c>
      <c r="O20" s="5" t="n">
        <v>132</v>
      </c>
      <c r="P20" s="5" t="n">
        <v>1.3</v>
      </c>
      <c r="Q20" s="5" t="inlineStr">
        <is>
          <t>CP Piacenza (AC001E01167)</t>
        </is>
      </c>
      <c r="R20" s="5" t="n">
        <v>1690</v>
      </c>
      <c r="S20" s="5" t="n">
        <v>154850</v>
      </c>
      <c r="T20" s="5" t="n">
        <v>10.08</v>
      </c>
      <c r="U20" s="5" t="n">
        <v>6.18</v>
      </c>
      <c r="V20" s="5" t="n">
        <v>16054</v>
      </c>
      <c r="W20" s="5" t="n">
        <v>5.65</v>
      </c>
      <c r="X20" s="5" t="n">
        <v>7.83</v>
      </c>
      <c r="Y20" s="6">
        <f>H20*10000*$D$3</f>
        <v/>
      </c>
      <c r="Z20" s="5" t="n">
        <v>36270</v>
      </c>
      <c r="AA20" s="5" t="n">
        <v>90.5</v>
      </c>
      <c r="AB20" s="5" t="n">
        <v>45.065325</v>
      </c>
      <c r="AC20" s="5" t="n">
        <v>9.618428</v>
      </c>
      <c r="AD20" s="7" t="inlineStr">
        <is>
          <t>Apri Ortofoto</t>
        </is>
      </c>
      <c r="AE20" s="5" t="inlineStr">
        <is>
          <t>Linea AT 132 kV a ~192 m; Stazione elettrica a ~1,3 km; 4,7 ha oltre i 300 m</t>
        </is>
      </c>
      <c r="AF20" s="8" t="n"/>
      <c r="AG20" s="8" t="n"/>
      <c r="AH20" s="5">
        <f>IF(AG20="","",IF(AG20&lt;=$D$3,"SÌ","NO"))</f>
        <v/>
      </c>
    </row>
    <row r="21">
      <c r="A21" s="5" t="n">
        <v>16</v>
      </c>
      <c r="B21" s="5" t="inlineStr">
        <is>
          <t>Benchmark Test A1 (Pontenure-Cadeo)</t>
        </is>
      </c>
      <c r="C21" s="5" t="inlineStr">
        <is>
          <t>🔥 Priorità 1 · Top Taglia / Rete AT Vicina</t>
        </is>
      </c>
      <c r="D21" s="5" t="inlineStr">
        <is>
          <t>Cadeo</t>
        </is>
      </c>
      <c r="E21" s="5" t="inlineStr">
        <is>
          <t>B332</t>
        </is>
      </c>
      <c r="F21" s="5" t="n">
        <v>7</v>
      </c>
      <c r="G21" s="5" t="n">
        <v>149</v>
      </c>
      <c r="H21" s="5" t="n">
        <v>8.1</v>
      </c>
      <c r="I21" s="5" t="n">
        <v>7.4</v>
      </c>
      <c r="J21" s="5" t="inlineStr">
        <is>
          <t>A1</t>
        </is>
      </c>
      <c r="K21" s="5" t="n">
        <v>65</v>
      </c>
      <c r="L21" s="5" t="n">
        <v>110</v>
      </c>
      <c r="M21" s="5" t="n">
        <v>132</v>
      </c>
      <c r="N21" s="5" t="inlineStr">
        <is>
          <t>Cadeo FS</t>
        </is>
      </c>
      <c r="O21" s="5" t="n">
        <v>132</v>
      </c>
      <c r="P21" s="5" t="n">
        <v>3.2</v>
      </c>
      <c r="Q21" s="5" t="inlineStr">
        <is>
          <t>CP Pontenure 132/15 kV</t>
        </is>
      </c>
      <c r="R21" s="5" t="n">
        <v>4160</v>
      </c>
      <c r="S21" s="5" t="n">
        <v>315400</v>
      </c>
      <c r="T21" s="5" t="n">
        <v>6.75</v>
      </c>
      <c r="U21" s="5" t="n">
        <v>6.17</v>
      </c>
      <c r="V21" s="5" t="n">
        <v>10751</v>
      </c>
      <c r="W21" s="5" t="n">
        <v>5.45</v>
      </c>
      <c r="X21" s="5" t="n">
        <v>7.55</v>
      </c>
      <c r="Y21" s="6">
        <f>H21*10000*$D$3</f>
        <v/>
      </c>
      <c r="Z21" s="5" t="n">
        <v>24300</v>
      </c>
      <c r="AA21" s="5" t="n">
        <v>83.5</v>
      </c>
      <c r="AB21" s="5" t="n">
        <v>44.9965</v>
      </c>
      <c r="AC21" s="5" t="n">
        <v>9.8285</v>
      </c>
      <c r="AD21" s="7" t="inlineStr">
        <is>
          <t>Apri Ortofoto</t>
        </is>
      </c>
      <c r="AE21" s="5" t="inlineStr">
        <is>
          <t>Lotto 2 Benchmark Test A1 (tra A1 e linea AV Milano-Bologna); sfuggito alla griglia standard per taglio bordo riquadro</t>
        </is>
      </c>
      <c r="AF21" s="8" t="n"/>
      <c r="AG21" s="8" t="n"/>
      <c r="AH21" s="5">
        <f>IF(AG21="","",IF(AG21&lt;=$D$3,"SÌ","NO"))</f>
        <v/>
      </c>
    </row>
    <row r="22">
      <c r="A22" s="5" t="n">
        <v>17</v>
      </c>
      <c r="B22" s="5" t="inlineStr">
        <is>
          <t>Top 50 Aperta Campagna</t>
        </is>
      </c>
      <c r="C22" s="5" t="inlineStr">
        <is>
          <t>🔥 Priorità 1 · Top Taglia / Rete AT Vicina</t>
        </is>
      </c>
      <c r="D22" s="5" t="inlineStr">
        <is>
          <t>Caorso</t>
        </is>
      </c>
      <c r="E22" s="5" t="inlineStr">
        <is>
          <t>B643</t>
        </is>
      </c>
      <c r="F22" s="5" t="n">
        <v>18</v>
      </c>
      <c r="G22" s="5" t="n">
        <v>187</v>
      </c>
      <c r="H22" s="5" t="n">
        <v>12.6</v>
      </c>
      <c r="I22" s="5" t="n">
        <v>7.38</v>
      </c>
      <c r="J22" s="5" t="inlineStr">
        <is>
          <t>A21</t>
        </is>
      </c>
      <c r="K22" s="5" t="n">
        <v>17</v>
      </c>
      <c r="L22" s="5" t="n">
        <v>55</v>
      </c>
      <c r="M22" s="5" t="n">
        <v>132</v>
      </c>
      <c r="N22" s="5" t="inlineStr">
        <is>
          <t>Caorso</t>
        </is>
      </c>
      <c r="O22" s="5" t="n">
        <v>380</v>
      </c>
      <c r="P22" s="5" t="n">
        <v>4.2</v>
      </c>
      <c r="Q22" s="5" t="inlineStr">
        <is>
          <t>CP Pontenure (AC001E01166)</t>
        </is>
      </c>
      <c r="R22" s="5" t="n">
        <v>5460</v>
      </c>
      <c r="S22" s="5" t="n">
        <v>399900</v>
      </c>
      <c r="T22" s="5" t="n">
        <v>10.5</v>
      </c>
      <c r="U22" s="5" t="n">
        <v>6.15</v>
      </c>
      <c r="V22" s="5" t="n">
        <v>16723</v>
      </c>
      <c r="W22" s="5" t="n">
        <v>5.55</v>
      </c>
      <c r="X22" s="5" t="n">
        <v>7.7</v>
      </c>
      <c r="Y22" s="6">
        <f>H22*10000*$D$3</f>
        <v/>
      </c>
      <c r="Z22" s="5" t="n">
        <v>37800</v>
      </c>
      <c r="AA22" s="5" t="n">
        <v>80</v>
      </c>
      <c r="AB22" s="5" t="n">
        <v>45.048215</v>
      </c>
      <c r="AC22" s="5" t="n">
        <v>9.824691</v>
      </c>
      <c r="AD22" s="7" t="inlineStr">
        <is>
          <t>Apri Ortofoto</t>
        </is>
      </c>
      <c r="AE22" s="5" t="inlineStr">
        <is>
          <t>Linea AT 132 kV a ~55 m; Area produttiva a ~350 m: verificare la destinazione urbanistica; 5,2 ha oltre i 300 m</t>
        </is>
      </c>
      <c r="AF22" s="8" t="n"/>
      <c r="AG22" s="8" t="n"/>
      <c r="AH22" s="5">
        <f>IF(AG22="","",IF(AG22&lt;=$D$3,"SÌ","NO"))</f>
        <v/>
      </c>
    </row>
    <row r="23">
      <c r="A23" s="5" t="n">
        <v>18</v>
      </c>
      <c r="B23" s="5" t="inlineStr">
        <is>
          <t>Estensione WMS AdE (Griglia Sfalsata)</t>
        </is>
      </c>
      <c r="C23" s="5" t="inlineStr">
        <is>
          <t>🔥 Priorità 1 · Top Taglia / Rete AT Vicina</t>
        </is>
      </c>
      <c r="D23" s="5" t="inlineStr">
        <is>
          <t>Monticelli d'Ongina</t>
        </is>
      </c>
      <c r="E23" s="5" t="inlineStr">
        <is>
          <t>F671</t>
        </is>
      </c>
      <c r="F23" s="5" t="n">
        <v>30</v>
      </c>
      <c r="G23" s="5" t="n">
        <v>34</v>
      </c>
      <c r="H23" s="5" t="n">
        <v>12.35</v>
      </c>
      <c r="I23" s="5" t="n">
        <v>7.25</v>
      </c>
      <c r="J23" s="5" t="inlineStr">
        <is>
          <t>A21</t>
        </is>
      </c>
      <c r="K23" s="5" t="n">
        <v>19</v>
      </c>
      <c r="L23" s="5" t="n">
        <v>329</v>
      </c>
      <c r="M23" s="5" t="n">
        <v>380</v>
      </c>
      <c r="N23" s="5" t="inlineStr">
        <is>
          <t>Monticelli Ferrovia</t>
        </is>
      </c>
      <c r="O23" s="5" t="n">
        <v>132</v>
      </c>
      <c r="P23" s="5" t="n">
        <v>0.6</v>
      </c>
      <c r="Q23" s="5" t="inlineStr">
        <is>
          <t>CP Monticelli d'Ongina (AC001E01173)</t>
        </is>
      </c>
      <c r="R23" s="5" t="n">
        <v>780</v>
      </c>
      <c r="S23" s="5" t="n">
        <v>95700</v>
      </c>
      <c r="T23" s="5" t="n">
        <v>10.29</v>
      </c>
      <c r="U23" s="5" t="n">
        <v>6.04</v>
      </c>
      <c r="V23" s="5" t="n">
        <v>16389</v>
      </c>
      <c r="W23" s="5" t="n">
        <v>5.5</v>
      </c>
      <c r="X23" s="5" t="n">
        <v>7.63</v>
      </c>
      <c r="Y23" s="6">
        <f>H23*10000*$D$3</f>
        <v/>
      </c>
      <c r="Z23" s="5" t="n">
        <v>37050</v>
      </c>
      <c r="AA23" s="5" t="n">
        <v>97</v>
      </c>
      <c r="AB23" s="5" t="n">
        <v>45.061272</v>
      </c>
      <c r="AC23" s="5" t="n">
        <v>9.925846999999999</v>
      </c>
      <c r="AD23" s="7" t="inlineStr">
        <is>
          <t>Apri Ortofoto</t>
        </is>
      </c>
      <c r="AE23" s="5" t="inlineStr">
        <is>
          <t>Stazione elettrica Monticelli Ferrovia a ~0,6 km; 5,1 ha oltre i 300 m</t>
        </is>
      </c>
      <c r="AF23" s="8" t="n"/>
      <c r="AG23" s="8" t="n"/>
      <c r="AH23" s="5">
        <f>IF(AG23="","",IF(AG23&lt;=$D$3,"SÌ","NO"))</f>
        <v/>
      </c>
    </row>
    <row r="24">
      <c r="A24" s="5" t="n">
        <v>19</v>
      </c>
      <c r="B24" s="5" t="inlineStr">
        <is>
          <t>Top 50 Aperta Campagna</t>
        </is>
      </c>
      <c r="C24" s="5" t="inlineStr">
        <is>
          <t>🔥 Priorità 1 · Top Taglia / Rete AT Vicina</t>
        </is>
      </c>
      <c r="D24" s="5" t="inlineStr">
        <is>
          <t>Calendasco</t>
        </is>
      </c>
      <c r="E24" s="5" t="inlineStr">
        <is>
          <t>B405</t>
        </is>
      </c>
      <c r="F24" s="5" t="n">
        <v>31</v>
      </c>
      <c r="G24" s="5" t="n">
        <v>16</v>
      </c>
      <c r="H24" s="5" t="n">
        <v>8.699999999999999</v>
      </c>
      <c r="I24" s="5" t="n">
        <v>7.11</v>
      </c>
      <c r="J24" s="5" t="inlineStr">
        <is>
          <t>A21</t>
        </is>
      </c>
      <c r="K24" s="5" t="n">
        <v>9</v>
      </c>
      <c r="L24" s="5" t="n">
        <v>110</v>
      </c>
      <c r="M24" s="5" t="n">
        <v>132</v>
      </c>
      <c r="N24" s="5" t="inlineStr">
        <is>
          <t>(senza nome)</t>
        </is>
      </c>
      <c r="O24" s="5" t="n">
        <v>132</v>
      </c>
      <c r="P24" s="5" t="n">
        <v>1.1</v>
      </c>
      <c r="Q24" s="5" t="inlineStr">
        <is>
          <t>CP Piacenza (AC001E01167)</t>
        </is>
      </c>
      <c r="R24" s="5" t="n">
        <v>1430</v>
      </c>
      <c r="S24" s="5" t="n">
        <v>137950</v>
      </c>
      <c r="T24" s="5" t="n">
        <v>7.25</v>
      </c>
      <c r="U24" s="5" t="n">
        <v>5.93</v>
      </c>
      <c r="V24" s="5" t="n">
        <v>11547</v>
      </c>
      <c r="W24" s="5" t="n">
        <v>5.65</v>
      </c>
      <c r="X24" s="5" t="n">
        <v>7.83</v>
      </c>
      <c r="Y24" s="6">
        <f>H24*10000*$D$3</f>
        <v/>
      </c>
      <c r="Z24" s="5" t="n">
        <v>26100</v>
      </c>
      <c r="AA24" s="5" t="n">
        <v>92.5</v>
      </c>
      <c r="AB24" s="5" t="n">
        <v>45.064574</v>
      </c>
      <c r="AC24" s="5" t="n">
        <v>9.621185000000001</v>
      </c>
      <c r="AD24" s="7" t="inlineStr">
        <is>
          <t>Apri Ortofoto</t>
        </is>
      </c>
      <c r="AE24" s="5" t="inlineStr">
        <is>
          <t>Linea AT 132 kV a ~110 m; Stazione elettrica a ~1,1 km; 1,6 ha oltre i 300 m</t>
        </is>
      </c>
      <c r="AF24" s="8" t="n"/>
      <c r="AG24" s="8" t="n"/>
      <c r="AH24" s="5">
        <f>IF(AG24="","",IF(AG24&lt;=$D$3,"SÌ","NO"))</f>
        <v/>
      </c>
    </row>
    <row r="25">
      <c r="A25" s="5" t="n">
        <v>20</v>
      </c>
      <c r="B25" s="5" t="inlineStr">
        <is>
          <t>Top 50 Aperta Campagna</t>
        </is>
      </c>
      <c r="C25" s="5" t="inlineStr">
        <is>
          <t>🔥 Priorità 1 · Top Taglia / Rete AT Vicina</t>
        </is>
      </c>
      <c r="D25" s="5" t="inlineStr">
        <is>
          <t>Castelvetro Piacentino</t>
        </is>
      </c>
      <c r="E25" s="5" t="inlineStr">
        <is>
          <t>C288</t>
        </is>
      </c>
      <c r="F25" s="5" t="n">
        <v>24</v>
      </c>
      <c r="G25" s="5" t="n">
        <v>22</v>
      </c>
      <c r="H25" s="5" t="n">
        <v>10.89</v>
      </c>
      <c r="I25" s="5" t="n">
        <v>6.96</v>
      </c>
      <c r="J25" s="5" t="inlineStr">
        <is>
          <t>A21</t>
        </is>
      </c>
      <c r="K25" s="5" t="n">
        <v>21</v>
      </c>
      <c r="L25" s="5" t="n">
        <v>630</v>
      </c>
      <c r="M25" s="5" t="n">
        <v>380</v>
      </c>
      <c r="N25" s="5" t="inlineStr">
        <is>
          <t>Monticelli Ferrovia</t>
        </is>
      </c>
      <c r="O25" s="5" t="n">
        <v>132</v>
      </c>
      <c r="P25" s="5" t="n">
        <v>3</v>
      </c>
      <c r="Q25" s="5" t="inlineStr">
        <is>
          <t>CP Monticelli d'Ongina (AC001E01173)</t>
        </is>
      </c>
      <c r="R25" s="5" t="n">
        <v>3900</v>
      </c>
      <c r="S25" s="5" t="n">
        <v>298500</v>
      </c>
      <c r="T25" s="5" t="n">
        <v>9.08</v>
      </c>
      <c r="U25" s="5" t="n">
        <v>5.8</v>
      </c>
      <c r="V25" s="5" t="n">
        <v>14462</v>
      </c>
      <c r="W25" s="5" t="n">
        <v>5.5</v>
      </c>
      <c r="X25" s="5" t="n">
        <v>7.63</v>
      </c>
      <c r="Y25" s="6">
        <f>H25*10000*$D$3</f>
        <v/>
      </c>
      <c r="Z25" s="5" t="n">
        <v>32670</v>
      </c>
      <c r="AA25" s="5" t="n">
        <v>79.5</v>
      </c>
      <c r="AB25" s="5" t="n">
        <v>45.064243</v>
      </c>
      <c r="AC25" s="5" t="n">
        <v>9.956638999999999</v>
      </c>
      <c r="AD25" s="7" t="inlineStr">
        <is>
          <t>Apri Ortofoto</t>
        </is>
      </c>
      <c r="AE25" s="5" t="inlineStr">
        <is>
          <t>3,9 ha oltre i 300 m</t>
        </is>
      </c>
      <c r="AF25" s="8" t="n"/>
      <c r="AG25" s="8" t="n"/>
      <c r="AH25" s="5">
        <f>IF(AG25="","",IF(AG25&lt;=$D$3,"SÌ","NO"))</f>
        <v/>
      </c>
    </row>
    <row r="26">
      <c r="A26" s="5" t="n">
        <v>21</v>
      </c>
      <c r="B26" s="5" t="inlineStr">
        <is>
          <t>Top 50 Aperta Campagna</t>
        </is>
      </c>
      <c r="C26" s="5" t="inlineStr">
        <is>
          <t>🔥 Priorità 1 · Top Taglia / Rete AT Vicina</t>
        </is>
      </c>
      <c r="D26" s="5" t="inlineStr">
        <is>
          <t>San Pietro in Cerro</t>
        </is>
      </c>
      <c r="E26" s="5" t="inlineStr">
        <is>
          <t>G788</t>
        </is>
      </c>
      <c r="F26" s="5" t="n">
        <v>3</v>
      </c>
      <c r="G26" s="5" t="n">
        <v>2</v>
      </c>
      <c r="H26" s="5" t="n">
        <v>10.13</v>
      </c>
      <c r="I26" s="5" t="n">
        <v>6.81</v>
      </c>
      <c r="J26" s="5" t="inlineStr">
        <is>
          <t>A21</t>
        </is>
      </c>
      <c r="K26" s="5" t="n">
        <v>13</v>
      </c>
      <c r="L26" s="5" t="n">
        <v>108</v>
      </c>
      <c r="M26" s="5" t="n">
        <v>380</v>
      </c>
      <c r="N26" s="5" t="inlineStr">
        <is>
          <t>Monticelli Ferrovia</t>
        </is>
      </c>
      <c r="O26" s="5" t="n">
        <v>132</v>
      </c>
      <c r="P26" s="5" t="n">
        <v>1.1</v>
      </c>
      <c r="Q26" s="5" t="inlineStr">
        <is>
          <t>CP Monticelli d'Ongina (AC001E01173)</t>
        </is>
      </c>
      <c r="R26" s="5" t="n">
        <v>1430</v>
      </c>
      <c r="S26" s="5" t="n">
        <v>137950</v>
      </c>
      <c r="T26" s="5" t="n">
        <v>8.44</v>
      </c>
      <c r="U26" s="5" t="n">
        <v>5.67</v>
      </c>
      <c r="V26" s="5" t="n">
        <v>13442</v>
      </c>
      <c r="W26" s="5" t="n">
        <v>5.5</v>
      </c>
      <c r="X26" s="5" t="n">
        <v>7.63</v>
      </c>
      <c r="Y26" s="6">
        <f>H26*10000*$D$3</f>
        <v/>
      </c>
      <c r="Z26" s="5" t="n">
        <v>30390</v>
      </c>
      <c r="AA26" s="5" t="n">
        <v>91</v>
      </c>
      <c r="AB26" s="5" t="n">
        <v>45.057063</v>
      </c>
      <c r="AC26" s="5" t="n">
        <v>9.931082</v>
      </c>
      <c r="AD26" s="7" t="inlineStr">
        <is>
          <t>Apri Ortofoto</t>
        </is>
      </c>
      <c r="AE26" s="5" t="inlineStr">
        <is>
          <t>Linea AT 380 kV a ~108 m; Stazione elettrica Monticelli Ferrovia a ~1,1 km; 3,3 ha oltre i 300 m</t>
        </is>
      </c>
      <c r="AF26" s="8" t="n"/>
      <c r="AG26" s="8" t="n"/>
      <c r="AH26" s="5">
        <f>IF(AG26="","",IF(AG26&lt;=$D$3,"SÌ","NO"))</f>
        <v/>
      </c>
    </row>
    <row r="27">
      <c r="A27" s="5" t="n">
        <v>22</v>
      </c>
      <c r="B27" s="5" t="inlineStr">
        <is>
          <t>Estensione WMS AdE (Griglia Sfalsata)</t>
        </is>
      </c>
      <c r="C27" s="5" t="inlineStr">
        <is>
          <t>🔥 Priorità 1 · Top Taglia / Rete AT Vicina</t>
        </is>
      </c>
      <c r="D27" s="5" t="inlineStr">
        <is>
          <t>Castelvetro Piacentino</t>
        </is>
      </c>
      <c r="E27" s="5" t="inlineStr">
        <is>
          <t>C288</t>
        </is>
      </c>
      <c r="F27" s="5" t="n">
        <v>21</v>
      </c>
      <c r="G27" s="5" t="n">
        <v>92</v>
      </c>
      <c r="H27" s="5" t="n">
        <v>8.470000000000001</v>
      </c>
      <c r="I27" s="5" t="n">
        <v>6.79</v>
      </c>
      <c r="J27" s="5" t="inlineStr">
        <is>
          <t>A21</t>
        </is>
      </c>
      <c r="K27" s="5" t="n">
        <v>21</v>
      </c>
      <c r="L27" s="5" t="n">
        <v>1654</v>
      </c>
      <c r="M27" s="5" t="n">
        <v>380</v>
      </c>
      <c r="N27" s="5" t="inlineStr">
        <is>
          <t>Monticelli Ferrovia</t>
        </is>
      </c>
      <c r="O27" s="5" t="n">
        <v>132</v>
      </c>
      <c r="P27" s="5" t="n">
        <v>4.3</v>
      </c>
      <c r="Q27" s="5" t="inlineStr">
        <is>
          <t>CP Monticelli d'Ongina (AC001E01173)</t>
        </is>
      </c>
      <c r="R27" s="5" t="n">
        <v>5590</v>
      </c>
      <c r="S27" s="5" t="n">
        <v>408350</v>
      </c>
      <c r="T27" s="5" t="n">
        <v>7.06</v>
      </c>
      <c r="U27" s="5" t="n">
        <v>5.66</v>
      </c>
      <c r="V27" s="5" t="n">
        <v>11244</v>
      </c>
      <c r="W27" s="5" t="n">
        <v>5.5</v>
      </c>
      <c r="X27" s="5" t="n">
        <v>7.63</v>
      </c>
      <c r="Y27" s="6">
        <f>H27*10000*$D$3</f>
        <v/>
      </c>
      <c r="Z27" s="5" t="n">
        <v>25410</v>
      </c>
      <c r="AA27" s="5" t="n">
        <v>75</v>
      </c>
      <c r="AB27" s="5" t="n">
        <v>45.073734</v>
      </c>
      <c r="AC27" s="5" t="n">
        <v>9.970962999999999</v>
      </c>
      <c r="AD27" s="7" t="inlineStr">
        <is>
          <t>Apri Ortofoto</t>
        </is>
      </c>
      <c r="AE27" s="5" t="inlineStr">
        <is>
          <t>1,7 ha oltre i 300 m</t>
        </is>
      </c>
      <c r="AF27" s="8" t="n"/>
      <c r="AG27" s="8" t="n"/>
      <c r="AH27" s="5">
        <f>IF(AG27="","",IF(AG27&lt;=$D$3,"SÌ","NO"))</f>
        <v/>
      </c>
    </row>
    <row r="28">
      <c r="A28" s="5" t="n">
        <v>23</v>
      </c>
      <c r="B28" s="5" t="inlineStr">
        <is>
          <t>Top 50 Aperta Campagna</t>
        </is>
      </c>
      <c r="C28" s="5" t="inlineStr">
        <is>
          <t>🔥 Priorità 1 · Top Taglia / Rete AT Vicina</t>
        </is>
      </c>
      <c r="D28" s="5" t="inlineStr">
        <is>
          <t>San Pietro in Cerro</t>
        </is>
      </c>
      <c r="E28" s="5" t="inlineStr">
        <is>
          <t>G788</t>
        </is>
      </c>
      <c r="F28" s="5" t="n">
        <v>3</v>
      </c>
      <c r="G28" s="5" t="n">
        <v>1</v>
      </c>
      <c r="H28" s="5" t="n">
        <v>9.56</v>
      </c>
      <c r="I28" s="5" t="n">
        <v>6.61</v>
      </c>
      <c r="J28" s="5" t="inlineStr">
        <is>
          <t>A21</t>
        </is>
      </c>
      <c r="K28" s="5" t="n">
        <v>21</v>
      </c>
      <c r="L28" s="5" t="n">
        <v>369</v>
      </c>
      <c r="M28" s="5" t="n">
        <v>380</v>
      </c>
      <c r="N28" s="5" t="inlineStr">
        <is>
          <t>Monticelli Ferrovia</t>
        </is>
      </c>
      <c r="O28" s="5" t="n">
        <v>132</v>
      </c>
      <c r="P28" s="5" t="n">
        <v>0.9</v>
      </c>
      <c r="Q28" s="5" t="inlineStr">
        <is>
          <t>CP Monticelli d'Ongina (AC001E01173)</t>
        </is>
      </c>
      <c r="R28" s="5" t="n">
        <v>1170</v>
      </c>
      <c r="S28" s="5" t="n">
        <v>121050</v>
      </c>
      <c r="T28" s="5" t="n">
        <v>7.97</v>
      </c>
      <c r="U28" s="5" t="n">
        <v>5.51</v>
      </c>
      <c r="V28" s="5" t="n">
        <v>12694</v>
      </c>
      <c r="W28" s="5" t="n">
        <v>5.5</v>
      </c>
      <c r="X28" s="5" t="n">
        <v>7.63</v>
      </c>
      <c r="Y28" s="6">
        <f>H28*10000*$D$3</f>
        <v/>
      </c>
      <c r="Z28" s="5" t="n">
        <v>28680</v>
      </c>
      <c r="AA28" s="5" t="n">
        <v>94.5</v>
      </c>
      <c r="AB28" s="5" t="n">
        <v>45.061431</v>
      </c>
      <c r="AC28" s="5" t="n">
        <v>9.929874999999999</v>
      </c>
      <c r="AD28" s="7" t="inlineStr">
        <is>
          <t>Apri Ortofoto</t>
        </is>
      </c>
      <c r="AE28" s="5" t="inlineStr">
        <is>
          <t>Stazione elettrica Monticelli Ferrovia a ~0,9 km; 3,0 ha oltre i 300 m</t>
        </is>
      </c>
      <c r="AF28" s="8" t="n"/>
      <c r="AG28" s="8" t="n"/>
      <c r="AH28" s="5">
        <f>IF(AG28="","",IF(AG28&lt;=$D$3,"SÌ","NO"))</f>
        <v/>
      </c>
    </row>
    <row r="29">
      <c r="A29" s="5" t="n">
        <v>24</v>
      </c>
      <c r="B29" s="5" t="inlineStr">
        <is>
          <t>Top 50 Aperta Campagna</t>
        </is>
      </c>
      <c r="C29" s="5" t="inlineStr">
        <is>
          <t>🔥 Priorità 1 · Top Taglia / Rete AT Vicina</t>
        </is>
      </c>
      <c r="D29" s="5" t="inlineStr">
        <is>
          <t>Cadeo</t>
        </is>
      </c>
      <c r="E29" s="5" t="inlineStr">
        <is>
          <t>B332</t>
        </is>
      </c>
      <c r="F29" s="5" t="n">
        <v>21</v>
      </c>
      <c r="G29" s="5" t="n">
        <v>6</v>
      </c>
      <c r="H29" s="5" t="n">
        <v>9.07</v>
      </c>
      <c r="I29" s="5" t="n">
        <v>6.49</v>
      </c>
      <c r="J29" s="5" t="inlineStr">
        <is>
          <t>A1</t>
        </is>
      </c>
      <c r="K29" s="5" t="n">
        <v>14</v>
      </c>
      <c r="L29" s="5" t="n">
        <v>422</v>
      </c>
      <c r="M29" s="5" t="n">
        <v>132</v>
      </c>
      <c r="N29" s="5" t="inlineStr">
        <is>
          <t>Fiorenzuola AV</t>
        </is>
      </c>
      <c r="O29" s="5" t="n">
        <v>132</v>
      </c>
      <c r="P29" s="5" t="n">
        <v>1.1</v>
      </c>
      <c r="Q29" s="5" t="inlineStr">
        <is>
          <t>CP Fiorenzuola d'Arda (AC001E01230)</t>
        </is>
      </c>
      <c r="R29" s="5" t="n">
        <v>1430</v>
      </c>
      <c r="S29" s="5" t="n">
        <v>137950</v>
      </c>
      <c r="T29" s="5" t="n">
        <v>7.56</v>
      </c>
      <c r="U29" s="5" t="n">
        <v>5.41</v>
      </c>
      <c r="V29" s="5" t="n">
        <v>12041</v>
      </c>
      <c r="W29" s="5" t="n">
        <v>5.45</v>
      </c>
      <c r="X29" s="5" t="n">
        <v>7.55</v>
      </c>
      <c r="Y29" s="6">
        <f>H29*10000*$D$3</f>
        <v/>
      </c>
      <c r="Z29" s="5" t="n">
        <v>27210</v>
      </c>
      <c r="AA29" s="5" t="n">
        <v>90.5</v>
      </c>
      <c r="AB29" s="5" t="n">
        <v>44.972525</v>
      </c>
      <c r="AC29" s="5" t="n">
        <v>9.876535000000001</v>
      </c>
      <c r="AD29" s="7" t="inlineStr">
        <is>
          <t>Apri Ortofoto</t>
        </is>
      </c>
      <c r="AE29" s="5" t="inlineStr">
        <is>
          <t>Stazione elettrica Fiorenzuola AV a ~1,1 km; 2,6 ha oltre i 300 m</t>
        </is>
      </c>
      <c r="AF29" s="8" t="n"/>
      <c r="AG29" s="8" t="n"/>
      <c r="AH29" s="5">
        <f>IF(AG29="","",IF(AG29&lt;=$D$3,"SÌ","NO"))</f>
        <v/>
      </c>
    </row>
    <row r="30">
      <c r="A30" s="5" t="n">
        <v>25</v>
      </c>
      <c r="B30" s="5" t="inlineStr">
        <is>
          <t>Estensione WMS AdE (Griglia Sfalsata)</t>
        </is>
      </c>
      <c r="C30" s="5" t="inlineStr">
        <is>
          <t>🔥 Priorità 1 · Top Taglia / Rete AT Vicina</t>
        </is>
      </c>
      <c r="D30" s="5" t="inlineStr">
        <is>
          <t>Rottofreno</t>
        </is>
      </c>
      <c r="E30" s="5" t="inlineStr">
        <is>
          <t>H593</t>
        </is>
      </c>
      <c r="F30" s="5" t="n">
        <v>14</v>
      </c>
      <c r="G30" s="5" t="n">
        <v>107</v>
      </c>
      <c r="H30" s="5" t="n">
        <v>14.79</v>
      </c>
      <c r="I30" s="5" t="n">
        <v>6.48</v>
      </c>
      <c r="J30" s="5" t="inlineStr">
        <is>
          <t>A21</t>
        </is>
      </c>
      <c r="K30" s="5" t="n">
        <v>16</v>
      </c>
      <c r="L30" s="5" t="n">
        <v>1015</v>
      </c>
      <c r="M30" s="5" t="n">
        <v>132</v>
      </c>
      <c r="N30" s="5" t="inlineStr">
        <is>
          <t>Rottofreno</t>
        </is>
      </c>
      <c r="O30" s="5" t="n">
        <v>132</v>
      </c>
      <c r="P30" s="5" t="n">
        <v>1</v>
      </c>
      <c r="Q30" s="5" t="inlineStr">
        <is>
          <t>CP Rottofreno (AC001E01165)</t>
        </is>
      </c>
      <c r="R30" s="5" t="n">
        <v>914</v>
      </c>
      <c r="S30" s="5" t="n">
        <v>104410</v>
      </c>
      <c r="T30" s="5" t="n">
        <v>12.32</v>
      </c>
      <c r="U30" s="5" t="n">
        <v>5.4</v>
      </c>
      <c r="V30" s="5" t="n">
        <v>19622</v>
      </c>
      <c r="W30" s="5" t="n">
        <v>5.65</v>
      </c>
      <c r="X30" s="5" t="n">
        <v>7.83</v>
      </c>
      <c r="Y30" s="6">
        <f>H30*10000*$D$3</f>
        <v/>
      </c>
      <c r="Z30" s="5" t="n">
        <v>44370</v>
      </c>
      <c r="AA30" s="5" t="n">
        <v>95</v>
      </c>
      <c r="AB30" s="5" t="n">
        <v>45.061742</v>
      </c>
      <c r="AC30" s="5" t="n">
        <v>9.571555999999999</v>
      </c>
      <c r="AD30" s="7" t="inlineStr">
        <is>
          <t>Apri Ortofoto</t>
        </is>
      </c>
      <c r="AE30" s="5" t="inlineStr">
        <is>
          <t>Stazione elettrica Rottofreno a ~1,0 km; 8,3 ha oltre i 300 m</t>
        </is>
      </c>
      <c r="AF30" s="8" t="n"/>
      <c r="AG30" s="8" t="n"/>
      <c r="AH30" s="5">
        <f>IF(AG30="","",IF(AG30&lt;=$D$3,"SÌ","NO"))</f>
        <v/>
      </c>
    </row>
    <row r="31">
      <c r="A31" s="5" t="n">
        <v>26</v>
      </c>
      <c r="B31" s="5" t="inlineStr">
        <is>
          <t>Top 50 Aperta Campagna</t>
        </is>
      </c>
      <c r="C31" s="5" t="inlineStr">
        <is>
          <t>🔥 Priorità 1 · Top Taglia / Rete AT Vicina</t>
        </is>
      </c>
      <c r="D31" s="5" t="inlineStr">
        <is>
          <t>Monticelli d'Ongina</t>
        </is>
      </c>
      <c r="E31" s="5" t="inlineStr">
        <is>
          <t>F671</t>
        </is>
      </c>
      <c r="F31" s="5" t="n">
        <v>32</v>
      </c>
      <c r="G31" s="5" t="n">
        <v>9</v>
      </c>
      <c r="H31" s="5" t="n">
        <v>9.19</v>
      </c>
      <c r="I31" s="5" t="n">
        <v>6.48</v>
      </c>
      <c r="J31" s="5" t="inlineStr">
        <is>
          <t>A21</t>
        </is>
      </c>
      <c r="K31" s="5" t="n">
        <v>65</v>
      </c>
      <c r="L31" s="5" t="n">
        <v>62</v>
      </c>
      <c r="M31" s="5" t="n">
        <v>380</v>
      </c>
      <c r="N31" s="5" t="inlineStr">
        <is>
          <t>Monticelli Ferrovia</t>
        </is>
      </c>
      <c r="O31" s="5" t="n">
        <v>132</v>
      </c>
      <c r="P31" s="5" t="n">
        <v>1.9</v>
      </c>
      <c r="Q31" s="5" t="inlineStr">
        <is>
          <t>CP Monticelli d'Ongina (AC001E01173)</t>
        </is>
      </c>
      <c r="R31" s="5" t="n">
        <v>2470</v>
      </c>
      <c r="S31" s="5" t="n">
        <v>205550</v>
      </c>
      <c r="T31" s="5" t="n">
        <v>7.66</v>
      </c>
      <c r="U31" s="5" t="n">
        <v>5.4</v>
      </c>
      <c r="V31" s="5" t="n">
        <v>12200</v>
      </c>
      <c r="W31" s="5" t="n">
        <v>5.5</v>
      </c>
      <c r="X31" s="5" t="n">
        <v>7.63</v>
      </c>
      <c r="Y31" s="6">
        <f>H31*10000*$D$3</f>
        <v/>
      </c>
      <c r="Z31" s="5" t="n">
        <v>27570</v>
      </c>
      <c r="AA31" s="5" t="n">
        <v>86.5</v>
      </c>
      <c r="AB31" s="5" t="n">
        <v>45.058804</v>
      </c>
      <c r="AC31" s="5" t="n">
        <v>9.942527</v>
      </c>
      <c r="AD31" s="7" t="inlineStr">
        <is>
          <t>Apri Ortofoto</t>
        </is>
      </c>
      <c r="AE31" s="5" t="inlineStr">
        <is>
          <t>Linea AT 380 kV a ~62 m; Area cantiere a ~348 m: verificare la destinazione urbanistica; 2,7 ha oltre i 300 m</t>
        </is>
      </c>
      <c r="AF31" s="8" t="n"/>
      <c r="AG31" s="8" t="n"/>
      <c r="AH31" s="5">
        <f>IF(AG31="","",IF(AG31&lt;=$D$3,"SÌ","NO"))</f>
        <v/>
      </c>
    </row>
    <row r="32">
      <c r="A32" s="5" t="n">
        <v>27</v>
      </c>
      <c r="B32" s="5" t="inlineStr">
        <is>
          <t>Top 50 Aperta Campagna</t>
        </is>
      </c>
      <c r="C32" s="5" t="inlineStr">
        <is>
          <t>🔥 Priorità 1 · Top Taglia / Rete AT Vicina</t>
        </is>
      </c>
      <c r="D32" s="5" t="inlineStr">
        <is>
          <t>Piacenza</t>
        </is>
      </c>
      <c r="E32" s="5" t="inlineStr">
        <is>
          <t>G535</t>
        </is>
      </c>
      <c r="F32" s="5" t="n">
        <v>88</v>
      </c>
      <c r="G32" s="5" t="n">
        <v>42</v>
      </c>
      <c r="H32" s="5" t="n">
        <v>7.32</v>
      </c>
      <c r="I32" s="5" t="n">
        <v>6.38</v>
      </c>
      <c r="J32" s="5" t="inlineStr">
        <is>
          <t>A1</t>
        </is>
      </c>
      <c r="K32" s="5" t="n">
        <v>30</v>
      </c>
      <c r="L32" s="5" t="n">
        <v>360</v>
      </c>
      <c r="M32" s="5" t="n">
        <v>132</v>
      </c>
      <c r="N32" s="5" t="inlineStr">
        <is>
          <t>(senza nome)</t>
        </is>
      </c>
      <c r="O32" s="5" t="n">
        <v>132</v>
      </c>
      <c r="P32" s="5" t="n">
        <v>0.3</v>
      </c>
      <c r="Q32" s="5" t="inlineStr">
        <is>
          <t>CP Pontenure (AC001E01166)</t>
        </is>
      </c>
      <c r="R32" s="5" t="n">
        <v>390</v>
      </c>
      <c r="S32" s="5" t="n">
        <v>70350</v>
      </c>
      <c r="T32" s="5" t="n">
        <v>6.1</v>
      </c>
      <c r="U32" s="5" t="n">
        <v>5.32</v>
      </c>
      <c r="V32" s="5" t="n">
        <v>9715</v>
      </c>
      <c r="W32" s="5" t="n">
        <v>5.65</v>
      </c>
      <c r="X32" s="5" t="n">
        <v>7.83</v>
      </c>
      <c r="Y32" s="6">
        <f>H32*10000*$D$3</f>
        <v/>
      </c>
      <c r="Z32" s="5" t="n">
        <v>21960</v>
      </c>
      <c r="AA32" s="5" t="n">
        <v>98.5</v>
      </c>
      <c r="AB32" s="5" t="n">
        <v>45.024712</v>
      </c>
      <c r="AC32" s="5" t="n">
        <v>9.771421999999999</v>
      </c>
      <c r="AD32" s="7" t="inlineStr">
        <is>
          <t>Apri Ortofoto</t>
        </is>
      </c>
      <c r="AE32" s="5" t="inlineStr">
        <is>
          <t>Stazione elettrica a ~0,3 km; 0,9 ha oltre i 300 m</t>
        </is>
      </c>
      <c r="AF32" s="8" t="n"/>
      <c r="AG32" s="8" t="n"/>
      <c r="AH32" s="5">
        <f>IF(AG32="","",IF(AG32&lt;=$D$3,"SÌ","NO"))</f>
        <v/>
      </c>
    </row>
    <row r="33">
      <c r="A33" s="5" t="n">
        <v>28</v>
      </c>
      <c r="B33" s="5" t="inlineStr">
        <is>
          <t>Top 50 Aperta Campagna</t>
        </is>
      </c>
      <c r="C33" s="5" t="inlineStr">
        <is>
          <t>🔥 Priorità 1 · Top Taglia / Rete AT Vicina</t>
        </is>
      </c>
      <c r="D33" s="5" t="inlineStr">
        <is>
          <t>Piacenza</t>
        </is>
      </c>
      <c r="E33" s="5" t="inlineStr">
        <is>
          <t>G535</t>
        </is>
      </c>
      <c r="F33" s="5" t="n">
        <v>14</v>
      </c>
      <c r="G33" s="5" t="n">
        <v>678</v>
      </c>
      <c r="H33" s="5" t="n">
        <v>6.18</v>
      </c>
      <c r="I33" s="5" t="n">
        <v>6.18</v>
      </c>
      <c r="J33" s="5" t="inlineStr">
        <is>
          <t>A1</t>
        </is>
      </c>
      <c r="K33" s="5" t="n">
        <v>11</v>
      </c>
      <c r="L33" s="5" t="n">
        <v>36</v>
      </c>
      <c r="M33" s="5" t="n">
        <v>132</v>
      </c>
      <c r="N33" s="5" t="inlineStr">
        <is>
          <t>Tecnoborgo sezionamento</t>
        </is>
      </c>
      <c r="O33" s="5" t="n">
        <v>132</v>
      </c>
      <c r="P33" s="5" t="n">
        <v>0.8</v>
      </c>
      <c r="Q33" s="5" t="inlineStr">
        <is>
          <t>CP Piacenza (AC001E01168)</t>
        </is>
      </c>
      <c r="R33" s="5" t="n">
        <v>1040</v>
      </c>
      <c r="S33" s="5" t="n">
        <v>112600</v>
      </c>
      <c r="T33" s="5" t="n">
        <v>5.15</v>
      </c>
      <c r="U33" s="5" t="n">
        <v>5.15</v>
      </c>
      <c r="V33" s="5" t="n">
        <v>8202</v>
      </c>
      <c r="W33" s="5" t="n">
        <v>5.65</v>
      </c>
      <c r="X33" s="5" t="n">
        <v>7.83</v>
      </c>
      <c r="Y33" s="6">
        <f>H33*10000*$D$3</f>
        <v/>
      </c>
      <c r="Z33" s="5" t="n">
        <v>18540</v>
      </c>
      <c r="AA33" s="5" t="n">
        <v>94.5</v>
      </c>
      <c r="AB33" s="5" t="n">
        <v>45.059068</v>
      </c>
      <c r="AC33" s="5" t="n">
        <v>9.742343</v>
      </c>
      <c r="AD33" s="7" t="inlineStr">
        <is>
          <t>Apri Ortofoto</t>
        </is>
      </c>
      <c r="AE33" s="5" t="inlineStr">
        <is>
          <t>Linea AT 132 kV sul fondo o al confine: condiziona il layout, ma la rete è vicina; Stazione elettrica Tecnoborgo sezionamento a ~0,8 km</t>
        </is>
      </c>
      <c r="AF33" s="8" t="n"/>
      <c r="AG33" s="8" t="n"/>
      <c r="AH33" s="5">
        <f>IF(AG33="","",IF(AG33&lt;=$D$3,"SÌ","NO"))</f>
        <v/>
      </c>
    </row>
    <row r="34">
      <c r="A34" s="5" t="n">
        <v>29</v>
      </c>
      <c r="B34" s="5" t="inlineStr">
        <is>
          <t>Top 50 Aperta Campagna</t>
        </is>
      </c>
      <c r="C34" s="5" t="inlineStr">
        <is>
          <t>🔥 Priorità 1 · Top Taglia / Rete AT Vicina</t>
        </is>
      </c>
      <c r="D34" s="5" t="inlineStr">
        <is>
          <t>Calendasco</t>
        </is>
      </c>
      <c r="E34" s="5" t="inlineStr">
        <is>
          <t>B405</t>
        </is>
      </c>
      <c r="F34" s="5" t="n">
        <v>31</v>
      </c>
      <c r="G34" s="5" t="n">
        <v>473</v>
      </c>
      <c r="H34" s="5" t="n">
        <v>6.73</v>
      </c>
      <c r="I34" s="5" t="n">
        <v>6.16</v>
      </c>
      <c r="J34" s="5" t="inlineStr">
        <is>
          <t>A21</t>
        </is>
      </c>
      <c r="K34" s="5" t="n">
        <v>16</v>
      </c>
      <c r="L34" s="5" t="n">
        <v>243</v>
      </c>
      <c r="M34" s="5" t="n">
        <v>132</v>
      </c>
      <c r="N34" s="5" t="inlineStr">
        <is>
          <t>(senza nome)</t>
        </is>
      </c>
      <c r="O34" s="5" t="n">
        <v>132</v>
      </c>
      <c r="P34" s="5" t="n">
        <v>1.2</v>
      </c>
      <c r="Q34" s="5" t="inlineStr">
        <is>
          <t>CP Piacenza (AC001E01167)</t>
        </is>
      </c>
      <c r="R34" s="5" t="n">
        <v>1560</v>
      </c>
      <c r="S34" s="5" t="n">
        <v>146400</v>
      </c>
      <c r="T34" s="5" t="n">
        <v>5.61</v>
      </c>
      <c r="U34" s="5" t="n">
        <v>5.13</v>
      </c>
      <c r="V34" s="5" t="n">
        <v>8935</v>
      </c>
      <c r="W34" s="5" t="n">
        <v>5.65</v>
      </c>
      <c r="X34" s="5" t="n">
        <v>7.83</v>
      </c>
      <c r="Y34" s="6">
        <f>H34*10000*$D$3</f>
        <v/>
      </c>
      <c r="Z34" s="5" t="n">
        <v>20190</v>
      </c>
      <c r="AA34" s="5" t="n">
        <v>90.5</v>
      </c>
      <c r="AB34" s="5" t="n">
        <v>45.0614</v>
      </c>
      <c r="AC34" s="5" t="n">
        <v>9.616052</v>
      </c>
      <c r="AD34" s="7" t="inlineStr">
        <is>
          <t>Apri Ortofoto</t>
        </is>
      </c>
      <c r="AE34" s="5" t="inlineStr">
        <is>
          <t>Linea AT 132 kV a ~243 m; Stazione elettrica a ~1,2 km; Area produttiva a ~340 m: verificare la destinazione urbanistica; 0,6 ha oltre i 300 m</t>
        </is>
      </c>
      <c r="AF34" s="8" t="n"/>
      <c r="AG34" s="8" t="n"/>
      <c r="AH34" s="5">
        <f>IF(AG34="","",IF(AG34&lt;=$D$3,"SÌ","NO"))</f>
        <v/>
      </c>
    </row>
    <row r="35">
      <c r="A35" s="5" t="n">
        <v>30</v>
      </c>
      <c r="B35" s="5" t="inlineStr">
        <is>
          <t>Estensione WMS AdE (Griglia Sfalsata)</t>
        </is>
      </c>
      <c r="C35" s="5" t="inlineStr">
        <is>
          <t>🔥 Priorità 1 · Top Taglia / Rete AT Vicina</t>
        </is>
      </c>
      <c r="D35" s="5" t="inlineStr">
        <is>
          <t>Cadeo</t>
        </is>
      </c>
      <c r="E35" s="5" t="inlineStr">
        <is>
          <t>B332</t>
        </is>
      </c>
      <c r="F35" s="5" t="n">
        <v>19</v>
      </c>
      <c r="G35" s="5" t="n">
        <v>173</v>
      </c>
      <c r="H35" s="5" t="n">
        <v>6.16</v>
      </c>
      <c r="I35" s="5" t="n">
        <v>6.16</v>
      </c>
      <c r="J35" s="5" t="inlineStr">
        <is>
          <t>A1</t>
        </is>
      </c>
      <c r="K35" s="5" t="n">
        <v>71</v>
      </c>
      <c r="L35" s="5" t="n">
        <v>43</v>
      </c>
      <c r="M35" s="5" t="n">
        <v>132</v>
      </c>
      <c r="N35" s="5" t="inlineStr">
        <is>
          <t>Fiorenzuola AV</t>
        </is>
      </c>
      <c r="O35" s="5" t="n">
        <v>132</v>
      </c>
      <c r="P35" s="5" t="n">
        <v>1.8</v>
      </c>
      <c r="Q35" s="5" t="inlineStr">
        <is>
          <t>CP Cortemaggiore (AC001E01172)</t>
        </is>
      </c>
      <c r="R35" s="5" t="n">
        <v>2340</v>
      </c>
      <c r="S35" s="5" t="n">
        <v>197100</v>
      </c>
      <c r="T35" s="5" t="n">
        <v>5.13</v>
      </c>
      <c r="U35" s="5" t="n">
        <v>5.13</v>
      </c>
      <c r="V35" s="5" t="n">
        <v>8171</v>
      </c>
      <c r="W35" s="5" t="n">
        <v>5.45</v>
      </c>
      <c r="X35" s="5" t="n">
        <v>7.55</v>
      </c>
      <c r="Y35" s="6">
        <f>H35*10000*$D$3</f>
        <v/>
      </c>
      <c r="Z35" s="5" t="n">
        <v>18480</v>
      </c>
      <c r="AA35" s="5" t="n">
        <v>86.5</v>
      </c>
      <c r="AB35" s="5" t="n">
        <v>44.979218</v>
      </c>
      <c r="AC35" s="5" t="n">
        <v>9.870918</v>
      </c>
      <c r="AD35" s="7" t="inlineStr">
        <is>
          <t>Apri Ortofoto</t>
        </is>
      </c>
      <c r="AE35" s="5" t="inlineStr">
        <is>
          <t>Linea AT 132 kV a ~43 m; Stazione elettrica Fiorenzuola AV a ~1,8 km</t>
        </is>
      </c>
      <c r="AF35" s="8" t="n"/>
      <c r="AG35" s="8" t="n"/>
      <c r="AH35" s="5">
        <f>IF(AG35="","",IF(AG35&lt;=$D$3,"SÌ","NO"))</f>
        <v/>
      </c>
    </row>
    <row r="36">
      <c r="A36" s="5" t="n">
        <v>31</v>
      </c>
      <c r="B36" s="5" t="inlineStr">
        <is>
          <t>Top 50 Aperta Campagna</t>
        </is>
      </c>
      <c r="C36" s="5" t="inlineStr">
        <is>
          <t>🔥 Priorità 1 · Top Taglia / Rete AT Vicina</t>
        </is>
      </c>
      <c r="D36" s="5" t="inlineStr">
        <is>
          <t>Cadeo</t>
        </is>
      </c>
      <c r="E36" s="5" t="inlineStr">
        <is>
          <t>B332</t>
        </is>
      </c>
      <c r="F36" s="5" t="n">
        <v>21</v>
      </c>
      <c r="G36" s="5" t="n">
        <v>719</v>
      </c>
      <c r="H36" s="5" t="n">
        <v>6.12</v>
      </c>
      <c r="I36" s="5" t="n">
        <v>6.12</v>
      </c>
      <c r="J36" s="5" t="inlineStr">
        <is>
          <t>A1</t>
        </is>
      </c>
      <c r="K36" s="5" t="n">
        <v>13</v>
      </c>
      <c r="L36" s="5" t="n">
        <v>148</v>
      </c>
      <c r="M36" s="5" t="n">
        <v>132</v>
      </c>
      <c r="N36" s="5" t="inlineStr">
        <is>
          <t>Fiorenzuola AV</t>
        </is>
      </c>
      <c r="O36" s="5" t="n">
        <v>132</v>
      </c>
      <c r="P36" s="5" t="n">
        <v>0.6</v>
      </c>
      <c r="Q36" s="5" t="inlineStr">
        <is>
          <t>CP Fiorenzuola d'Arda (AC001E01230)</t>
        </is>
      </c>
      <c r="R36" s="5" t="n">
        <v>780</v>
      </c>
      <c r="S36" s="5" t="n">
        <v>95700</v>
      </c>
      <c r="T36" s="5" t="n">
        <v>5.1</v>
      </c>
      <c r="U36" s="5" t="n">
        <v>5.1</v>
      </c>
      <c r="V36" s="5" t="n">
        <v>8123</v>
      </c>
      <c r="W36" s="5" t="n">
        <v>5.45</v>
      </c>
      <c r="X36" s="5" t="n">
        <v>7.55</v>
      </c>
      <c r="Y36" s="6">
        <f>H36*10000*$D$3</f>
        <v/>
      </c>
      <c r="Z36" s="5" t="n">
        <v>18360</v>
      </c>
      <c r="AA36" s="5" t="n">
        <v>94.5</v>
      </c>
      <c r="AB36" s="5" t="n">
        <v>44.973085</v>
      </c>
      <c r="AC36" s="5" t="n">
        <v>9.883343999999999</v>
      </c>
      <c r="AD36" s="7" t="inlineStr">
        <is>
          <t>Apri Ortofoto</t>
        </is>
      </c>
      <c r="AE36" s="5" t="inlineStr">
        <is>
          <t>Linea AT 132 kV a ~148 m; Stazione elettrica Fiorenzuola AV a ~0,6 km</t>
        </is>
      </c>
      <c r="AF36" s="8" t="n"/>
      <c r="AG36" s="8" t="n"/>
      <c r="AH36" s="5">
        <f>IF(AG36="","",IF(AG36&lt;=$D$3,"SÌ","NO"))</f>
        <v/>
      </c>
    </row>
    <row r="37">
      <c r="A37" s="5" t="n">
        <v>32</v>
      </c>
      <c r="B37" s="5" t="inlineStr">
        <is>
          <t>Top 50 Aperta Campagna</t>
        </is>
      </c>
      <c r="C37" s="5" t="inlineStr">
        <is>
          <t>🔥 Priorità 1 · Top Taglia / Rete AT Vicina</t>
        </is>
      </c>
      <c r="D37" s="5" t="inlineStr">
        <is>
          <t>Caorso</t>
        </is>
      </c>
      <c r="E37" s="5" t="inlineStr">
        <is>
          <t>B643</t>
        </is>
      </c>
      <c r="F37" s="5" t="n">
        <v>23</v>
      </c>
      <c r="G37" s="5" t="n">
        <v>20</v>
      </c>
      <c r="H37" s="5" t="n">
        <v>6.81</v>
      </c>
      <c r="I37" s="5" t="n">
        <v>6.1</v>
      </c>
      <c r="J37" s="5" t="inlineStr">
        <is>
          <t>A21</t>
        </is>
      </c>
      <c r="K37" s="5" t="n">
        <v>16</v>
      </c>
      <c r="L37" s="5" t="n">
        <v>599</v>
      </c>
      <c r="M37" s="5" t="n">
        <v>380</v>
      </c>
      <c r="N37" s="5" t="inlineStr">
        <is>
          <t>Monticelli FS</t>
        </is>
      </c>
      <c r="O37" s="5" t="n">
        <v>132</v>
      </c>
      <c r="P37" s="5" t="n">
        <v>1.8</v>
      </c>
      <c r="Q37" s="5" t="inlineStr">
        <is>
          <t>CP Monticelli d'Ongina (AC001E01173)</t>
        </is>
      </c>
      <c r="R37" s="5" t="n">
        <v>2340</v>
      </c>
      <c r="S37" s="5" t="n">
        <v>197100</v>
      </c>
      <c r="T37" s="5" t="n">
        <v>5.67</v>
      </c>
      <c r="U37" s="5" t="n">
        <v>5.08</v>
      </c>
      <c r="V37" s="5" t="n">
        <v>9031</v>
      </c>
      <c r="W37" s="5" t="n">
        <v>5.55</v>
      </c>
      <c r="X37" s="5" t="n">
        <v>7.7</v>
      </c>
      <c r="Y37" s="6">
        <f>H37*10000*$D$3</f>
        <v/>
      </c>
      <c r="Z37" s="5" t="n">
        <v>20430</v>
      </c>
      <c r="AA37" s="5" t="n">
        <v>84</v>
      </c>
      <c r="AB37" s="5" t="n">
        <v>45.055931</v>
      </c>
      <c r="AC37" s="5" t="n">
        <v>9.89555</v>
      </c>
      <c r="AD37" s="7" t="inlineStr">
        <is>
          <t>Apri Ortofoto</t>
        </is>
      </c>
      <c r="AE37" s="5" t="inlineStr">
        <is>
          <t>Area commerciale a ~258 m: verificare la destinazione urbanistica; 0,7 ha oltre i 300 m</t>
        </is>
      </c>
      <c r="AF37" s="8" t="n"/>
      <c r="AG37" s="8" t="n"/>
      <c r="AH37" s="5">
        <f>IF(AG37="","",IF(AG37&lt;=$D$3,"SÌ","NO"))</f>
        <v/>
      </c>
    </row>
    <row r="38">
      <c r="A38" s="5" t="n">
        <v>33</v>
      </c>
      <c r="B38" s="5" t="inlineStr">
        <is>
          <t>Benchmark Test A1 (Pontenure-Cadeo)</t>
        </is>
      </c>
      <c r="C38" s="5" t="inlineStr">
        <is>
          <t>🔥 Priorità 1 · Top Taglia / Rete AT Vicina</t>
        </is>
      </c>
      <c r="D38" s="5" t="inlineStr">
        <is>
          <t>Pontenure</t>
        </is>
      </c>
      <c r="E38" s="5" t="inlineStr">
        <is>
          <t>G852</t>
        </is>
      </c>
      <c r="F38" s="5" t="n">
        <v>14</v>
      </c>
      <c r="G38" s="5" t="n">
        <v>134</v>
      </c>
      <c r="H38" s="5" t="n">
        <v>6.3</v>
      </c>
      <c r="I38" s="5" t="n">
        <v>6.1</v>
      </c>
      <c r="J38" s="5" t="inlineStr">
        <is>
          <t>A1</t>
        </is>
      </c>
      <c r="K38" s="5" t="n">
        <v>38</v>
      </c>
      <c r="L38" s="5" t="n">
        <v>95</v>
      </c>
      <c r="M38" s="5" t="n">
        <v>132</v>
      </c>
      <c r="N38" s="5" t="inlineStr">
        <is>
          <t>Cadeo FS</t>
        </is>
      </c>
      <c r="O38" s="5" t="n">
        <v>132</v>
      </c>
      <c r="P38" s="5" t="n">
        <v>3.8</v>
      </c>
      <c r="Q38" s="5" t="inlineStr">
        <is>
          <t>CP Pontenure 132/15 kV</t>
        </is>
      </c>
      <c r="R38" s="5" t="n">
        <v>4940</v>
      </c>
      <c r="S38" s="5" t="n">
        <v>366100</v>
      </c>
      <c r="T38" s="5" t="n">
        <v>5.25</v>
      </c>
      <c r="U38" s="5" t="n">
        <v>5.08</v>
      </c>
      <c r="V38" s="5" t="n">
        <v>8362</v>
      </c>
      <c r="W38" s="5" t="n">
        <v>5.85</v>
      </c>
      <c r="X38" s="5" t="n">
        <v>8</v>
      </c>
      <c r="Y38" s="6">
        <f>H38*10000*$D$3</f>
        <v/>
      </c>
      <c r="Z38" s="5" t="n">
        <v>18900</v>
      </c>
      <c r="AA38" s="5" t="n">
        <v>77.5</v>
      </c>
      <c r="AB38" s="5" t="n">
        <v>44.9965</v>
      </c>
      <c r="AC38" s="5" t="n">
        <v>9.821</v>
      </c>
      <c r="AD38" s="7" t="inlineStr">
        <is>
          <t>Apri Ortofoto</t>
        </is>
      </c>
      <c r="AE38" s="5" t="inlineStr">
        <is>
          <t>Lotto 3 Benchmark Test A1 (contigua a Part. 21, totale compendio 10,5 ha); verificato WMS AdE</t>
        </is>
      </c>
      <c r="AF38" s="8" t="n"/>
      <c r="AG38" s="8" t="n"/>
      <c r="AH38" s="5">
        <f>IF(AG38="","",IF(AG38&lt;=$D$3,"SÌ","NO"))</f>
        <v/>
      </c>
    </row>
    <row r="39">
      <c r="A39" s="5" t="n">
        <v>34</v>
      </c>
      <c r="B39" s="5" t="inlineStr">
        <is>
          <t>Top 50 Aperta Campagna</t>
        </is>
      </c>
      <c r="C39" s="5" t="inlineStr">
        <is>
          <t>🔥 Priorità 1 · Top Taglia / Rete AT Vicina</t>
        </is>
      </c>
      <c r="D39" s="5" t="inlineStr">
        <is>
          <t>Castelvetro Piacentino</t>
        </is>
      </c>
      <c r="E39" s="5" t="inlineStr">
        <is>
          <t>C288</t>
        </is>
      </c>
      <c r="F39" s="5" t="n">
        <v>21</v>
      </c>
      <c r="G39" s="5" t="n">
        <v>108</v>
      </c>
      <c r="H39" s="5" t="n">
        <v>6.07</v>
      </c>
      <c r="I39" s="5" t="n">
        <v>6.07</v>
      </c>
      <c r="J39" s="5" t="inlineStr">
        <is>
          <t>A21</t>
        </is>
      </c>
      <c r="K39" s="5" t="n">
        <v>17</v>
      </c>
      <c r="L39" s="5" t="n">
        <v>1334</v>
      </c>
      <c r="M39" s="5" t="n">
        <v>380</v>
      </c>
      <c r="N39" s="5" t="inlineStr">
        <is>
          <t>Monticelli Ferrovia</t>
        </is>
      </c>
      <c r="O39" s="5" t="n">
        <v>132</v>
      </c>
      <c r="P39" s="5" t="n">
        <v>3.8</v>
      </c>
      <c r="Q39" s="5" t="inlineStr">
        <is>
          <t>CP Monticelli d'Ongina (AC001E01173)</t>
        </is>
      </c>
      <c r="R39" s="5" t="n">
        <v>4940</v>
      </c>
      <c r="S39" s="5" t="n">
        <v>366100</v>
      </c>
      <c r="T39" s="5" t="n">
        <v>5.06</v>
      </c>
      <c r="U39" s="5" t="n">
        <v>5.06</v>
      </c>
      <c r="V39" s="5" t="n">
        <v>8059</v>
      </c>
      <c r="W39" s="5" t="n">
        <v>5.5</v>
      </c>
      <c r="X39" s="5" t="n">
        <v>7.63</v>
      </c>
      <c r="Y39" s="6">
        <f>H39*10000*$D$3</f>
        <v/>
      </c>
      <c r="Z39" s="5" t="n">
        <v>18210</v>
      </c>
      <c r="AA39" s="5" t="n">
        <v>75</v>
      </c>
      <c r="AB39" s="5" t="n">
        <v>45.070816</v>
      </c>
      <c r="AC39" s="5" t="n">
        <v>9.965073</v>
      </c>
      <c r="AD39" s="7" t="inlineStr">
        <is>
          <t>Apri Ortofoto</t>
        </is>
      </c>
      <c r="AE39" s="5" t="inlineStr">
        <is>
          <t>Seminativo aperto in fascia autostradale ≤300m D.Lgs. 199/2021</t>
        </is>
      </c>
      <c r="AF39" s="8" t="n"/>
      <c r="AG39" s="8" t="n"/>
      <c r="AH39" s="5">
        <f>IF(AG39="","",IF(AG39&lt;=$D$3,"SÌ","NO"))</f>
        <v/>
      </c>
    </row>
    <row r="40">
      <c r="A40" s="5" t="n">
        <v>35</v>
      </c>
      <c r="B40" s="5" t="inlineStr">
        <is>
          <t>Top 50 Aperta Campagna</t>
        </is>
      </c>
      <c r="C40" s="5" t="inlineStr">
        <is>
          <t>🔥 Priorità 1 · Top Taglia / Rete AT Vicina</t>
        </is>
      </c>
      <c r="D40" s="5" t="inlineStr">
        <is>
          <t>Monticelli d'Ongina</t>
        </is>
      </c>
      <c r="E40" s="5" t="inlineStr">
        <is>
          <t>F671</t>
        </is>
      </c>
      <c r="F40" s="5" t="n">
        <v>30</v>
      </c>
      <c r="G40" s="5" t="n">
        <v>33</v>
      </c>
      <c r="H40" s="5" t="n">
        <v>6.07</v>
      </c>
      <c r="I40" s="5" t="n">
        <v>6.07</v>
      </c>
      <c r="J40" s="5" t="inlineStr">
        <is>
          <t>A21</t>
        </is>
      </c>
      <c r="K40" s="5" t="n">
        <v>24</v>
      </c>
      <c r="L40" s="5" t="n">
        <v>160</v>
      </c>
      <c r="M40" s="5" t="n">
        <v>380</v>
      </c>
      <c r="N40" s="5" t="inlineStr">
        <is>
          <t>Monticelli Ferrovia</t>
        </is>
      </c>
      <c r="O40" s="5" t="n">
        <v>132</v>
      </c>
      <c r="P40" s="5" t="n">
        <v>0.4</v>
      </c>
      <c r="Q40" s="5" t="inlineStr">
        <is>
          <t>CP Monticelli d'Ongina (AC001E01173)</t>
        </is>
      </c>
      <c r="R40" s="5" t="n">
        <v>520</v>
      </c>
      <c r="S40" s="5" t="n">
        <v>78800</v>
      </c>
      <c r="T40" s="5" t="n">
        <v>5.06</v>
      </c>
      <c r="U40" s="5" t="n">
        <v>5.06</v>
      </c>
      <c r="V40" s="5" t="n">
        <v>8059</v>
      </c>
      <c r="W40" s="5" t="n">
        <v>5.5</v>
      </c>
      <c r="X40" s="5" t="n">
        <v>7.63</v>
      </c>
      <c r="Y40" s="6">
        <f>H40*10000*$D$3</f>
        <v/>
      </c>
      <c r="Z40" s="5" t="n">
        <v>18210</v>
      </c>
      <c r="AA40" s="5" t="n">
        <v>98.5</v>
      </c>
      <c r="AB40" s="5" t="n">
        <v>45.059985</v>
      </c>
      <c r="AC40" s="5" t="n">
        <v>9.923683</v>
      </c>
      <c r="AD40" s="7" t="inlineStr">
        <is>
          <t>Apri Ortofoto</t>
        </is>
      </c>
      <c r="AE40" s="5" t="inlineStr">
        <is>
          <t>Linea AT 380 kV a ~160 m; Stazione elettrica Monticelli Ferrovia a ~0,4 km</t>
        </is>
      </c>
      <c r="AF40" s="8" t="n"/>
      <c r="AG40" s="8" t="n"/>
      <c r="AH40" s="5">
        <f>IF(AG40="","",IF(AG40&lt;=$D$3,"SÌ","NO"))</f>
        <v/>
      </c>
    </row>
    <row r="41">
      <c r="A41" s="5" t="n">
        <v>36</v>
      </c>
      <c r="B41" s="5" t="inlineStr">
        <is>
          <t>Top 50 Aperta Campagna</t>
        </is>
      </c>
      <c r="C41" s="5" t="inlineStr">
        <is>
          <t>🔥 Priorità 1 · Top Taglia / Rete AT Vicina</t>
        </is>
      </c>
      <c r="D41" s="5" t="inlineStr">
        <is>
          <t>Caorso</t>
        </is>
      </c>
      <c r="E41" s="5" t="inlineStr">
        <is>
          <t>B643</t>
        </is>
      </c>
      <c r="F41" s="5" t="n">
        <v>19</v>
      </c>
      <c r="G41" s="5" t="n">
        <v>29</v>
      </c>
      <c r="H41" s="5" t="n">
        <v>6.29</v>
      </c>
      <c r="I41" s="5" t="n">
        <v>6.04</v>
      </c>
      <c r="J41" s="5" t="inlineStr">
        <is>
          <t>A21</t>
        </is>
      </c>
      <c r="K41" s="5" t="n">
        <v>16</v>
      </c>
      <c r="L41" s="5" t="n">
        <v>1073</v>
      </c>
      <c r="M41" s="5" t="n">
        <v>132</v>
      </c>
      <c r="N41" s="5" t="inlineStr">
        <is>
          <t>Caorso</t>
        </is>
      </c>
      <c r="O41" s="5" t="n">
        <v>380</v>
      </c>
      <c r="P41" s="5" t="n">
        <v>3.1</v>
      </c>
      <c r="Q41" s="5" t="inlineStr">
        <is>
          <t>CP Monticelli d'Ongina (AC001E01173)</t>
        </is>
      </c>
      <c r="R41" s="5" t="n">
        <v>4030</v>
      </c>
      <c r="S41" s="5" t="n">
        <v>306950</v>
      </c>
      <c r="T41" s="5" t="n">
        <v>5.24</v>
      </c>
      <c r="U41" s="5" t="n">
        <v>5.03</v>
      </c>
      <c r="V41" s="5" t="n">
        <v>8346</v>
      </c>
      <c r="W41" s="5" t="n">
        <v>5.55</v>
      </c>
      <c r="X41" s="5" t="n">
        <v>7.7</v>
      </c>
      <c r="Y41" s="6">
        <f>H41*10000*$D$3</f>
        <v/>
      </c>
      <c r="Z41" s="5" t="n">
        <v>18870</v>
      </c>
      <c r="AA41" s="5" t="n">
        <v>79</v>
      </c>
      <c r="AB41" s="5" t="n">
        <v>45.047742</v>
      </c>
      <c r="AC41" s="5" t="n">
        <v>9.845050000000001</v>
      </c>
      <c r="AD41" s="7" t="inlineStr">
        <is>
          <t>Apri Ortofoto</t>
        </is>
      </c>
      <c r="AE41" s="5" t="inlineStr">
        <is>
          <t>Seminativo aperto in fascia autostradale ≤300m D.Lgs. 199/2021</t>
        </is>
      </c>
      <c r="AF41" s="8" t="n"/>
      <c r="AG41" s="8" t="n"/>
      <c r="AH41" s="5">
        <f>IF(AG41="","",IF(AG41&lt;=$D$3,"SÌ","NO"))</f>
        <v/>
      </c>
    </row>
    <row r="42">
      <c r="A42" s="5" t="n">
        <v>37</v>
      </c>
      <c r="B42" s="5" t="inlineStr">
        <is>
          <t>Top 50 Aperta Campagna</t>
        </is>
      </c>
      <c r="C42" s="5" t="inlineStr">
        <is>
          <t>✅ Priorità 2 · Aperta Campagna Qualificata</t>
        </is>
      </c>
      <c r="D42" s="5" t="inlineStr">
        <is>
          <t>Caorso</t>
        </is>
      </c>
      <c r="E42" s="5" t="inlineStr">
        <is>
          <t>B643</t>
        </is>
      </c>
      <c r="F42" s="5" t="n">
        <v>18</v>
      </c>
      <c r="G42" s="5" t="n">
        <v>40</v>
      </c>
      <c r="H42" s="5" t="n">
        <v>8.529999999999999</v>
      </c>
      <c r="I42" s="5" t="n">
        <v>5.97</v>
      </c>
      <c r="J42" s="5" t="inlineStr">
        <is>
          <t>A21</t>
        </is>
      </c>
      <c r="K42" s="5" t="n">
        <v>14</v>
      </c>
      <c r="L42" s="5" t="n">
        <v>562</v>
      </c>
      <c r="M42" s="5" t="n">
        <v>132</v>
      </c>
      <c r="N42" s="5" t="inlineStr">
        <is>
          <t>Caorso</t>
        </is>
      </c>
      <c r="O42" s="5" t="n">
        <v>380</v>
      </c>
      <c r="P42" s="5" t="n">
        <v>3.7</v>
      </c>
      <c r="Q42" s="5" t="inlineStr">
        <is>
          <t>CP Pontenure (AC001E01166)</t>
        </is>
      </c>
      <c r="R42" s="5" t="n">
        <v>4810</v>
      </c>
      <c r="S42" s="5" t="n">
        <v>357650</v>
      </c>
      <c r="T42" s="5" t="n">
        <v>7.11</v>
      </c>
      <c r="U42" s="5" t="n">
        <v>4.97</v>
      </c>
      <c r="V42" s="5" t="n">
        <v>11324</v>
      </c>
      <c r="W42" s="5" t="n">
        <v>5.55</v>
      </c>
      <c r="X42" s="5" t="n">
        <v>7.7</v>
      </c>
      <c r="Y42" s="6">
        <f>H42*10000*$D$3</f>
        <v/>
      </c>
      <c r="Z42" s="5" t="n">
        <v>25590</v>
      </c>
      <c r="AA42" s="5" t="n">
        <v>75</v>
      </c>
      <c r="AB42" s="5" t="n">
        <v>45.047697</v>
      </c>
      <c r="AC42" s="5" t="n">
        <v>9.834911999999999</v>
      </c>
      <c r="AD42" s="7" t="inlineStr">
        <is>
          <t>Apri Ortofoto</t>
        </is>
      </c>
      <c r="AE42" s="5" t="inlineStr">
        <is>
          <t>2,6 ha oltre i 300 m</t>
        </is>
      </c>
      <c r="AF42" s="8" t="n"/>
      <c r="AG42" s="8" t="n"/>
      <c r="AH42" s="5">
        <f>IF(AG42="","",IF(AG42&lt;=$D$3,"SÌ","NO"))</f>
        <v/>
      </c>
    </row>
    <row r="43">
      <c r="A43" s="5" t="n">
        <v>38</v>
      </c>
      <c r="B43" s="5" t="inlineStr">
        <is>
          <t>Estensione WMS AdE (Griglia Sfalsata)</t>
        </is>
      </c>
      <c r="C43" s="5" t="inlineStr">
        <is>
          <t>✅ Priorità 2 · Aperta Campagna Qualificata</t>
        </is>
      </c>
      <c r="D43" s="5" t="inlineStr">
        <is>
          <t>Alseno</t>
        </is>
      </c>
      <c r="E43" s="5" t="inlineStr">
        <is>
          <t>A223</t>
        </is>
      </c>
      <c r="F43" s="5" t="n">
        <v>2</v>
      </c>
      <c r="G43" s="5" t="n">
        <v>198</v>
      </c>
      <c r="H43" s="5" t="n">
        <v>6.68</v>
      </c>
      <c r="I43" s="5" t="n">
        <v>5.96</v>
      </c>
      <c r="J43" s="5" t="inlineStr">
        <is>
          <t>A1</t>
        </is>
      </c>
      <c r="K43" s="5" t="n">
        <v>91</v>
      </c>
      <c r="L43" s="5" t="n">
        <v>199</v>
      </c>
      <c r="M43" s="5" t="n">
        <v>132</v>
      </c>
      <c r="N43" s="5" t="inlineStr">
        <is>
          <t>(senza nome)</t>
        </is>
      </c>
      <c r="O43" s="5" t="n">
        <v>132</v>
      </c>
      <c r="P43" s="5" t="n">
        <v>4</v>
      </c>
      <c r="Q43" s="5" t="inlineStr">
        <is>
          <t>CP Fiorenzuola d'Arda (AC001E01230)</t>
        </is>
      </c>
      <c r="R43" s="5" t="n">
        <v>5200</v>
      </c>
      <c r="S43" s="5" t="n">
        <v>383000</v>
      </c>
      <c r="T43" s="5" t="n">
        <v>5.57</v>
      </c>
      <c r="U43" s="5" t="n">
        <v>4.97</v>
      </c>
      <c r="V43" s="5" t="n">
        <v>8871</v>
      </c>
      <c r="W43" s="5" t="n">
        <v>5.45</v>
      </c>
      <c r="X43" s="5" t="n">
        <v>7.55</v>
      </c>
      <c r="Y43" s="6">
        <f>H43*10000*$D$3</f>
        <v/>
      </c>
      <c r="Z43" s="5" t="n">
        <v>20040</v>
      </c>
      <c r="AA43" s="5" t="n">
        <v>75</v>
      </c>
      <c r="AB43" s="5" t="n">
        <v>44.938398</v>
      </c>
      <c r="AC43" s="5" t="n">
        <v>9.967053999999999</v>
      </c>
      <c r="AD43" s="7" t="inlineStr">
        <is>
          <t>Apri Ortofoto</t>
        </is>
      </c>
      <c r="AE43" s="5" t="inlineStr">
        <is>
          <t>Linea AT 132 kV a ~199 m; 0,7 ha oltre i 300 m</t>
        </is>
      </c>
      <c r="AF43" s="8" t="n"/>
      <c r="AG43" s="8" t="n"/>
      <c r="AH43" s="5">
        <f>IF(AG43="","",IF(AG43&lt;=$D$3,"SÌ","NO"))</f>
        <v/>
      </c>
    </row>
    <row r="44">
      <c r="A44" s="5" t="n">
        <v>39</v>
      </c>
      <c r="B44" s="5" t="inlineStr">
        <is>
          <t>Estensione WMS AdE (Griglia Sfalsata)</t>
        </is>
      </c>
      <c r="C44" s="5" t="inlineStr">
        <is>
          <t>✅ Priorità 2 · Aperta Campagna Qualificata</t>
        </is>
      </c>
      <c r="D44" s="5" t="inlineStr">
        <is>
          <t>Cadeo</t>
        </is>
      </c>
      <c r="E44" s="5" t="inlineStr">
        <is>
          <t>B332</t>
        </is>
      </c>
      <c r="F44" s="5" t="n">
        <v>18</v>
      </c>
      <c r="G44" s="5" t="n">
        <v>71</v>
      </c>
      <c r="H44" s="5" t="n">
        <v>6.89</v>
      </c>
      <c r="I44" s="5" t="n">
        <v>5.93</v>
      </c>
      <c r="J44" s="5" t="inlineStr">
        <is>
          <t>A1</t>
        </is>
      </c>
      <c r="K44" s="5" t="n">
        <v>16</v>
      </c>
      <c r="L44" s="5" t="n">
        <v>297</v>
      </c>
      <c r="M44" s="5" t="n">
        <v>380</v>
      </c>
      <c r="N44" s="5" t="inlineStr">
        <is>
          <t>Cadeo FS</t>
        </is>
      </c>
      <c r="O44" s="5" t="n">
        <v>132</v>
      </c>
      <c r="P44" s="5" t="n">
        <v>1.6</v>
      </c>
      <c r="Q44" s="5" t="inlineStr">
        <is>
          <t>CP Cortemaggiore (AC001E01172)</t>
        </is>
      </c>
      <c r="R44" s="5" t="n">
        <v>2080</v>
      </c>
      <c r="S44" s="5" t="n">
        <v>180200</v>
      </c>
      <c r="T44" s="5" t="n">
        <v>5.74</v>
      </c>
      <c r="U44" s="5" t="n">
        <v>4.94</v>
      </c>
      <c r="V44" s="5" t="n">
        <v>9142</v>
      </c>
      <c r="W44" s="5" t="n">
        <v>5.45</v>
      </c>
      <c r="X44" s="5" t="n">
        <v>7.55</v>
      </c>
      <c r="Y44" s="6">
        <f>H44*10000*$D$3</f>
        <v/>
      </c>
      <c r="Z44" s="5" t="n">
        <v>20670</v>
      </c>
      <c r="AA44" s="5" t="n">
        <v>84</v>
      </c>
      <c r="AB44" s="5" t="n">
        <v>44.976968</v>
      </c>
      <c r="AC44" s="5" t="n">
        <v>9.866965</v>
      </c>
      <c r="AD44" s="7" t="inlineStr">
        <is>
          <t>Apri Ortofoto</t>
        </is>
      </c>
      <c r="AE44" s="5" t="inlineStr">
        <is>
          <t>Linea AT 380 kV a ~297 m; Stazione elettrica Cadeo FS a ~1,6 km; 1,0 ha oltre i 300 m</t>
        </is>
      </c>
      <c r="AF44" s="8" t="n"/>
      <c r="AG44" s="8" t="n"/>
      <c r="AH44" s="5">
        <f>IF(AG44="","",IF(AG44&lt;=$D$3,"SÌ","NO"))</f>
        <v/>
      </c>
    </row>
    <row r="45">
      <c r="A45" s="5" t="n">
        <v>40</v>
      </c>
      <c r="B45" s="5" t="inlineStr">
        <is>
          <t>Top 50 Aperta Campagna</t>
        </is>
      </c>
      <c r="C45" s="5" t="inlineStr">
        <is>
          <t>🔥 Priorità 1 · Top Taglia / Rete AT Vicina</t>
        </is>
      </c>
      <c r="D45" s="5" t="inlineStr">
        <is>
          <t>Castel San Giovanni</t>
        </is>
      </c>
      <c r="E45" s="5" t="inlineStr">
        <is>
          <t>C261</t>
        </is>
      </c>
      <c r="F45" s="5" t="n">
        <v>8</v>
      </c>
      <c r="G45" s="5" t="n">
        <v>4</v>
      </c>
      <c r="H45" s="5" t="n">
        <v>6.24</v>
      </c>
      <c r="I45" s="5" t="n">
        <v>5.89</v>
      </c>
      <c r="J45" s="5" t="inlineStr">
        <is>
          <t>A21</t>
        </is>
      </c>
      <c r="K45" s="5" t="n">
        <v>9</v>
      </c>
      <c r="L45" s="5" t="n">
        <v>15</v>
      </c>
      <c r="M45" s="5" t="n">
        <v>132</v>
      </c>
      <c r="N45" s="5" t="inlineStr">
        <is>
          <t>La Casella centrale</t>
        </is>
      </c>
      <c r="O45" s="5" t="n">
        <v>380</v>
      </c>
      <c r="P45" s="5" t="n">
        <v>5.1</v>
      </c>
      <c r="Q45" s="5" t="inlineStr">
        <is>
          <t>CP Arena Po (AC001E01164)</t>
        </is>
      </c>
      <c r="R45" s="5" t="n">
        <v>3739</v>
      </c>
      <c r="S45" s="5" t="n">
        <v>288035</v>
      </c>
      <c r="T45" s="5" t="n">
        <v>5.2</v>
      </c>
      <c r="U45" s="5" t="n">
        <v>4.91</v>
      </c>
      <c r="V45" s="5" t="n">
        <v>8282</v>
      </c>
      <c r="W45" s="5" t="n">
        <v>5.6</v>
      </c>
      <c r="X45" s="5" t="n">
        <v>7.76</v>
      </c>
      <c r="Y45" s="6">
        <f>H45*10000*$D$3</f>
        <v/>
      </c>
      <c r="Z45" s="5" t="n">
        <v>18720</v>
      </c>
      <c r="AA45" s="5" t="n">
        <v>81.5</v>
      </c>
      <c r="AB45" s="5" t="n">
        <v>45.082477</v>
      </c>
      <c r="AC45" s="5" t="n">
        <v>9.414815000000001</v>
      </c>
      <c r="AD45" s="7" t="inlineStr">
        <is>
          <t>Apri Ortofoto</t>
        </is>
      </c>
      <c r="AE45" s="5" t="inlineStr">
        <is>
          <t>Linea AT 132 kV sul fondo o al confine: condiziona il layout, ma la rete è vicina; Area residenziale a ~314 m: verificare la destinazione urbanistica</t>
        </is>
      </c>
      <c r="AF45" s="8" t="n"/>
      <c r="AG45" s="8" t="n"/>
      <c r="AH45" s="5">
        <f>IF(AG45="","",IF(AG45&lt;=$D$3,"SÌ","NO"))</f>
        <v/>
      </c>
    </row>
    <row r="46">
      <c r="A46" s="5" t="n">
        <v>41</v>
      </c>
      <c r="B46" s="5" t="inlineStr">
        <is>
          <t>Estensione WMS AdE (Griglia Sfalsata)</t>
        </is>
      </c>
      <c r="C46" s="5" t="inlineStr">
        <is>
          <t>🔥 Priorità 1 · Top Taglia / Rete AT Vicina</t>
        </is>
      </c>
      <c r="D46" s="5" t="inlineStr">
        <is>
          <t>Castel San Giovanni</t>
        </is>
      </c>
      <c r="E46" s="5" t="inlineStr">
        <is>
          <t>C261</t>
        </is>
      </c>
      <c r="F46" s="5" t="n">
        <v>14</v>
      </c>
      <c r="G46" s="5" t="n">
        <v>14</v>
      </c>
      <c r="H46" s="5" t="n">
        <v>13.15</v>
      </c>
      <c r="I46" s="5" t="n">
        <v>5.87</v>
      </c>
      <c r="J46" s="5" t="inlineStr">
        <is>
          <t>A21</t>
        </is>
      </c>
      <c r="K46" s="5" t="n">
        <v>89</v>
      </c>
      <c r="L46" s="5" t="n">
        <v>111</v>
      </c>
      <c r="M46" s="5" t="n">
        <v>132</v>
      </c>
      <c r="N46" s="5" t="inlineStr">
        <is>
          <t>Sarmato FS</t>
        </is>
      </c>
      <c r="O46" s="5" t="n">
        <v>132</v>
      </c>
      <c r="P46" s="5" t="n">
        <v>0.6</v>
      </c>
      <c r="Q46" s="5" t="inlineStr">
        <is>
          <t>CP Rottofreno (AC001E01165)</t>
        </is>
      </c>
      <c r="R46" s="5" t="n">
        <v>780</v>
      </c>
      <c r="S46" s="5" t="n">
        <v>95700</v>
      </c>
      <c r="T46" s="5" t="n">
        <v>10.96</v>
      </c>
      <c r="U46" s="5" t="n">
        <v>4.89</v>
      </c>
      <c r="V46" s="5" t="n">
        <v>17456</v>
      </c>
      <c r="W46" s="5" t="n">
        <v>5.6</v>
      </c>
      <c r="X46" s="5" t="n">
        <v>7.76</v>
      </c>
      <c r="Y46" s="6">
        <f>H46*10000*$D$3</f>
        <v/>
      </c>
      <c r="Z46" s="5" t="n">
        <v>39450</v>
      </c>
      <c r="AA46" s="5" t="n">
        <v>95</v>
      </c>
      <c r="AB46" s="5" t="n">
        <v>45.069062</v>
      </c>
      <c r="AC46" s="5" t="n">
        <v>9.479824000000001</v>
      </c>
      <c r="AD46" s="7" t="inlineStr">
        <is>
          <t>Apri Ortofoto</t>
        </is>
      </c>
      <c r="AE46" s="5" t="inlineStr">
        <is>
          <t>Linea AT 132 kV a ~111 m; Stazione elettrica Sarmato FS a ~0,6 km; 7,3 ha oltre i 300 m</t>
        </is>
      </c>
      <c r="AF46" s="8" t="n"/>
      <c r="AG46" s="8" t="n"/>
      <c r="AH46" s="5">
        <f>IF(AG46="","",IF(AG46&lt;=$D$3,"SÌ","NO"))</f>
        <v/>
      </c>
    </row>
    <row r="47">
      <c r="A47" s="5" t="n">
        <v>42</v>
      </c>
      <c r="B47" s="5" t="inlineStr">
        <is>
          <t>Top 50 Aperta Campagna</t>
        </is>
      </c>
      <c r="C47" s="5" t="inlineStr">
        <is>
          <t>🔥 Priorità 1 · Top Taglia / Rete AT Vicina</t>
        </is>
      </c>
      <c r="D47" s="5" t="inlineStr">
        <is>
          <t>Pontenure</t>
        </is>
      </c>
      <c r="E47" s="5" t="inlineStr">
        <is>
          <t>G852</t>
        </is>
      </c>
      <c r="F47" s="5" t="n">
        <v>13</v>
      </c>
      <c r="G47" s="5" t="n">
        <v>199</v>
      </c>
      <c r="H47" s="5" t="n">
        <v>7.56</v>
      </c>
      <c r="I47" s="5" t="n">
        <v>5.83</v>
      </c>
      <c r="J47" s="5" t="inlineStr">
        <is>
          <t>A1</t>
        </is>
      </c>
      <c r="K47" s="5" t="n">
        <v>18</v>
      </c>
      <c r="L47" s="5" t="n">
        <v>128</v>
      </c>
      <c r="M47" s="5" t="n">
        <v>132</v>
      </c>
      <c r="N47" s="5" t="inlineStr">
        <is>
          <t>Cadeo FS</t>
        </is>
      </c>
      <c r="O47" s="5" t="n">
        <v>132</v>
      </c>
      <c r="P47" s="5" t="n">
        <v>4.2</v>
      </c>
      <c r="Q47" s="5" t="inlineStr">
        <is>
          <t>CP Pontenure 132/15 kV</t>
        </is>
      </c>
      <c r="R47" s="5" t="n">
        <v>4400</v>
      </c>
      <c r="S47" s="5" t="n">
        <v>331000</v>
      </c>
      <c r="T47" s="5" t="n">
        <v>6.3</v>
      </c>
      <c r="U47" s="5" t="n">
        <v>4.86</v>
      </c>
      <c r="V47" s="5" t="n">
        <v>10034</v>
      </c>
      <c r="W47" s="5" t="n">
        <v>5.85</v>
      </c>
      <c r="X47" s="5" t="n">
        <v>8</v>
      </c>
      <c r="Y47" s="6">
        <f>H47*10000*$D$3</f>
        <v/>
      </c>
      <c r="Z47" s="5" t="n">
        <v>22680</v>
      </c>
      <c r="AA47" s="5" t="n">
        <v>81.5</v>
      </c>
      <c r="AB47" s="5" t="n">
        <v>44.998189</v>
      </c>
      <c r="AC47" s="5" t="n">
        <v>9.814251000000001</v>
      </c>
      <c r="AD47" s="7" t="inlineStr">
        <is>
          <t>Apri Ortofoto</t>
        </is>
      </c>
      <c r="AE47" s="5" t="inlineStr">
        <is>
          <t>Linea AT 132 kV a ~128 m; 1,7 ha oltre i 300 m</t>
        </is>
      </c>
      <c r="AF47" s="8" t="n"/>
      <c r="AG47" s="8" t="n"/>
      <c r="AH47" s="5">
        <f>IF(AG47="","",IF(AG47&lt;=$D$3,"SÌ","NO"))</f>
        <v/>
      </c>
    </row>
    <row r="48">
      <c r="A48" s="5" t="n">
        <v>43</v>
      </c>
      <c r="B48" s="5" t="inlineStr">
        <is>
          <t>Top 50 Aperta Campagna</t>
        </is>
      </c>
      <c r="C48" s="5" t="inlineStr">
        <is>
          <t>🔥 Priorità 1 · Top Taglia / Rete AT Vicina</t>
        </is>
      </c>
      <c r="D48" s="5" t="inlineStr">
        <is>
          <t>Cadeo</t>
        </is>
      </c>
      <c r="E48" s="5" t="inlineStr">
        <is>
          <t>B332</t>
        </is>
      </c>
      <c r="F48" s="5" t="n">
        <v>9</v>
      </c>
      <c r="G48" s="5" t="n">
        <v>146</v>
      </c>
      <c r="H48" s="5" t="n">
        <v>7.47</v>
      </c>
      <c r="I48" s="5" t="n">
        <v>5.7</v>
      </c>
      <c r="J48" s="5" t="inlineStr">
        <is>
          <t>A1</t>
        </is>
      </c>
      <c r="K48" s="5" t="n">
        <v>59</v>
      </c>
      <c r="L48" s="5" t="n">
        <v>115</v>
      </c>
      <c r="M48" s="5" t="n">
        <v>380</v>
      </c>
      <c r="N48" s="5" t="inlineStr">
        <is>
          <t>Cadeo FS</t>
        </is>
      </c>
      <c r="O48" s="5" t="n">
        <v>132</v>
      </c>
      <c r="P48" s="5" t="n">
        <v>2.1</v>
      </c>
      <c r="Q48" s="5" t="inlineStr">
        <is>
          <t>CP Cortemaggiore (AC001E01172)</t>
        </is>
      </c>
      <c r="R48" s="5" t="n">
        <v>2730</v>
      </c>
      <c r="S48" s="5" t="n">
        <v>222450</v>
      </c>
      <c r="T48" s="5" t="n">
        <v>6.22</v>
      </c>
      <c r="U48" s="5" t="n">
        <v>4.75</v>
      </c>
      <c r="V48" s="5" t="n">
        <v>9907</v>
      </c>
      <c r="W48" s="5" t="n">
        <v>5.45</v>
      </c>
      <c r="X48" s="5" t="n">
        <v>7.55</v>
      </c>
      <c r="Y48" s="6">
        <f>H48*10000*$D$3</f>
        <v/>
      </c>
      <c r="Z48" s="5" t="n">
        <v>22410</v>
      </c>
      <c r="AA48" s="5" t="n">
        <v>86.5</v>
      </c>
      <c r="AB48" s="5" t="n">
        <v>44.988901</v>
      </c>
      <c r="AC48" s="5" t="n">
        <v>9.849365000000001</v>
      </c>
      <c r="AD48" s="7" t="inlineStr">
        <is>
          <t>Apri Ortofoto</t>
        </is>
      </c>
      <c r="AE48" s="5" t="inlineStr">
        <is>
          <t>Linea AT 380 kV a ~115 m; 1,8 ha oltre i 300 m</t>
        </is>
      </c>
      <c r="AF48" s="8" t="n"/>
      <c r="AG48" s="8" t="n"/>
      <c r="AH48" s="5">
        <f>IF(AG48="","",IF(AG48&lt;=$D$3,"SÌ","NO"))</f>
        <v/>
      </c>
    </row>
    <row r="49">
      <c r="A49" s="5" t="n">
        <v>44</v>
      </c>
      <c r="B49" s="5" t="inlineStr">
        <is>
          <t>Top 50 Aperta Campagna</t>
        </is>
      </c>
      <c r="C49" s="5" t="inlineStr">
        <is>
          <t>✅ Priorità 2 · Aperta Campagna Qualificata</t>
        </is>
      </c>
      <c r="D49" s="5" t="inlineStr">
        <is>
          <t>Cadeo</t>
        </is>
      </c>
      <c r="E49" s="5" t="inlineStr">
        <is>
          <t>B332</t>
        </is>
      </c>
      <c r="F49" s="5" t="n">
        <v>9</v>
      </c>
      <c r="G49" s="5" t="n">
        <v>187</v>
      </c>
      <c r="H49" s="5" t="n">
        <v>10.04</v>
      </c>
      <c r="I49" s="5" t="n">
        <v>5.57</v>
      </c>
      <c r="J49" s="5" t="inlineStr">
        <is>
          <t>A1</t>
        </is>
      </c>
      <c r="K49" s="5" t="n">
        <v>64</v>
      </c>
      <c r="L49" s="5" t="n">
        <v>395</v>
      </c>
      <c r="M49" s="5" t="n">
        <v>132</v>
      </c>
      <c r="N49" s="5" t="inlineStr">
        <is>
          <t>Cadeo FS</t>
        </is>
      </c>
      <c r="O49" s="5" t="n">
        <v>132</v>
      </c>
      <c r="P49" s="5" t="n">
        <v>1.7</v>
      </c>
      <c r="Q49" s="5" t="inlineStr">
        <is>
          <t>CP Pontenure 132/15 kV</t>
        </is>
      </c>
      <c r="R49" s="5" t="n">
        <v>2210</v>
      </c>
      <c r="S49" s="5" t="n">
        <v>188650</v>
      </c>
      <c r="T49" s="5" t="n">
        <v>8.369999999999999</v>
      </c>
      <c r="U49" s="5" t="n">
        <v>4.64</v>
      </c>
      <c r="V49" s="5" t="n">
        <v>13331</v>
      </c>
      <c r="W49" s="5" t="n">
        <v>5.45</v>
      </c>
      <c r="X49" s="5" t="n">
        <v>7.55</v>
      </c>
      <c r="Y49" s="6">
        <f>H49*10000*$D$3</f>
        <v/>
      </c>
      <c r="Z49" s="5" t="n">
        <v>30120</v>
      </c>
      <c r="AA49" s="5" t="n">
        <v>84.5</v>
      </c>
      <c r="AB49" s="5" t="n">
        <v>44.984705</v>
      </c>
      <c r="AC49" s="5" t="n">
        <v>9.845846</v>
      </c>
      <c r="AD49" s="7" t="inlineStr">
        <is>
          <t>Apri Ortofoto</t>
        </is>
      </c>
      <c r="AE49" s="5" t="inlineStr">
        <is>
          <t>4,5 ha oltre i 300 m</t>
        </is>
      </c>
      <c r="AF49" s="8" t="n"/>
      <c r="AG49" s="8" t="n"/>
      <c r="AH49" s="5">
        <f>IF(AG49="","",IF(AG49&lt;=$D$3,"SÌ","NO"))</f>
        <v/>
      </c>
    </row>
    <row r="50">
      <c r="A50" s="5" t="n">
        <v>45</v>
      </c>
      <c r="B50" s="5" t="inlineStr">
        <is>
          <t>Top 50 Aperta Campagna</t>
        </is>
      </c>
      <c r="C50" s="5" t="inlineStr">
        <is>
          <t>✅ Priorità 2 · Aperta Campagna Qualificata</t>
        </is>
      </c>
      <c r="D50" s="5" t="inlineStr">
        <is>
          <t>Caorso</t>
        </is>
      </c>
      <c r="E50" s="5" t="inlineStr">
        <is>
          <t>B643</t>
        </is>
      </c>
      <c r="F50" s="5" t="n">
        <v>18</v>
      </c>
      <c r="G50" s="5" t="n">
        <v>37</v>
      </c>
      <c r="H50" s="5" t="n">
        <v>6.55</v>
      </c>
      <c r="I50" s="5" t="n">
        <v>5.54</v>
      </c>
      <c r="J50" s="5" t="inlineStr">
        <is>
          <t>A21</t>
        </is>
      </c>
      <c r="K50" s="5" t="n">
        <v>97</v>
      </c>
      <c r="L50" s="5" t="n">
        <v>370</v>
      </c>
      <c r="M50" s="5" t="n">
        <v>132</v>
      </c>
      <c r="N50" s="5" t="inlineStr">
        <is>
          <t>Caorso</t>
        </is>
      </c>
      <c r="O50" s="5" t="n">
        <v>380</v>
      </c>
      <c r="P50" s="5" t="n">
        <v>3.9</v>
      </c>
      <c r="Q50" s="5" t="inlineStr">
        <is>
          <t>CP Pontenure (AC001E01166)</t>
        </is>
      </c>
      <c r="R50" s="5" t="n">
        <v>5070</v>
      </c>
      <c r="S50" s="5" t="n">
        <v>374550</v>
      </c>
      <c r="T50" s="5" t="n">
        <v>5.46</v>
      </c>
      <c r="U50" s="5" t="n">
        <v>4.62</v>
      </c>
      <c r="V50" s="5" t="n">
        <v>8696</v>
      </c>
      <c r="W50" s="5" t="n">
        <v>5.55</v>
      </c>
      <c r="X50" s="5" t="n">
        <v>7.7</v>
      </c>
      <c r="Y50" s="6">
        <f>H50*10000*$D$3</f>
        <v/>
      </c>
      <c r="Z50" s="5" t="n">
        <v>19650</v>
      </c>
      <c r="AA50" s="5" t="n">
        <v>75</v>
      </c>
      <c r="AB50" s="5" t="n">
        <v>45.047871</v>
      </c>
      <c r="AC50" s="5" t="n">
        <v>9.831258999999999</v>
      </c>
      <c r="AD50" s="7" t="inlineStr">
        <is>
          <t>Apri Ortofoto</t>
        </is>
      </c>
      <c r="AE50" s="5" t="inlineStr">
        <is>
          <t>1,0 ha oltre i 300 m</t>
        </is>
      </c>
      <c r="AF50" s="8" t="n"/>
      <c r="AG50" s="8" t="n"/>
      <c r="AH50" s="5">
        <f>IF(AG50="","",IF(AG50&lt;=$D$3,"SÌ","NO"))</f>
        <v/>
      </c>
    </row>
    <row r="51">
      <c r="A51" s="5" t="n">
        <v>46</v>
      </c>
      <c r="B51" s="5" t="inlineStr">
        <is>
          <t>Top 50 Aperta Campagna</t>
        </is>
      </c>
      <c r="C51" s="5" t="inlineStr">
        <is>
          <t>✅ Priorità 2 · Aperta Campagna Qualificata</t>
        </is>
      </c>
      <c r="D51" s="5" t="inlineStr">
        <is>
          <t>Castelvetro Piacentino</t>
        </is>
      </c>
      <c r="E51" s="5" t="inlineStr">
        <is>
          <t>C288</t>
        </is>
      </c>
      <c r="F51" s="5" t="n">
        <v>24</v>
      </c>
      <c r="G51" s="5" t="n">
        <v>100</v>
      </c>
      <c r="H51" s="5" t="n">
        <v>5.52</v>
      </c>
      <c r="I51" s="5" t="n">
        <v>5.52</v>
      </c>
      <c r="J51" s="5" t="inlineStr">
        <is>
          <t>A21</t>
        </is>
      </c>
      <c r="K51" s="5" t="n">
        <v>10</v>
      </c>
      <c r="L51" s="5" t="n">
        <v>1096</v>
      </c>
      <c r="M51" s="5" t="n">
        <v>380</v>
      </c>
      <c r="N51" s="5" t="inlineStr">
        <is>
          <t>Monticelli Ferrovia</t>
        </is>
      </c>
      <c r="O51" s="5" t="n">
        <v>132</v>
      </c>
      <c r="P51" s="5" t="n">
        <v>3.1</v>
      </c>
      <c r="Q51" s="5" t="inlineStr">
        <is>
          <t>CP Monticelli d'Ongina (AC001E01173)</t>
        </is>
      </c>
      <c r="R51" s="5" t="n">
        <v>4030</v>
      </c>
      <c r="S51" s="5" t="n">
        <v>306950</v>
      </c>
      <c r="T51" s="5" t="n">
        <v>4.6</v>
      </c>
      <c r="U51" s="5" t="n">
        <v>4.6</v>
      </c>
      <c r="V51" s="5" t="n">
        <v>7326</v>
      </c>
      <c r="W51" s="5" t="n">
        <v>5.5</v>
      </c>
      <c r="X51" s="5" t="n">
        <v>7.63</v>
      </c>
      <c r="Y51" s="6">
        <f>H51*10000*$D$3</f>
        <v/>
      </c>
      <c r="Z51" s="5" t="n">
        <v>16560</v>
      </c>
      <c r="AA51" s="5" t="n">
        <v>79</v>
      </c>
      <c r="AB51" s="5" t="n">
        <v>45.068466</v>
      </c>
      <c r="AC51" s="5" t="n">
        <v>9.956766999999999</v>
      </c>
      <c r="AD51" s="7" t="inlineStr">
        <is>
          <t>Apri Ortofoto</t>
        </is>
      </c>
      <c r="AE51" s="5" t="inlineStr">
        <is>
          <t>Area produttiva a ~354 m: verificare la destinazione urbanistica</t>
        </is>
      </c>
      <c r="AF51" s="8" t="n"/>
      <c r="AG51" s="8" t="n"/>
      <c r="AH51" s="5">
        <f>IF(AG51="","",IF(AG51&lt;=$D$3,"SÌ","NO"))</f>
        <v/>
      </c>
    </row>
    <row r="52">
      <c r="A52" s="5" t="n">
        <v>47</v>
      </c>
      <c r="B52" s="5" t="inlineStr">
        <is>
          <t>Top 50 Aperta Campagna</t>
        </is>
      </c>
      <c r="C52" s="5" t="inlineStr">
        <is>
          <t>✅ Priorità 2 · Aperta Campagna Qualificata</t>
        </is>
      </c>
      <c r="D52" s="5" t="inlineStr">
        <is>
          <t>Castelvetro Piacentino</t>
        </is>
      </c>
      <c r="E52" s="5" t="inlineStr">
        <is>
          <t>C288</t>
        </is>
      </c>
      <c r="F52" s="5" t="n">
        <v>16</v>
      </c>
      <c r="G52" s="5" t="n">
        <v>142</v>
      </c>
      <c r="H52" s="5" t="n">
        <v>5.5</v>
      </c>
      <c r="I52" s="5" t="n">
        <v>5.5</v>
      </c>
      <c r="J52" s="5" t="inlineStr">
        <is>
          <t>A21</t>
        </is>
      </c>
      <c r="K52" s="5" t="n">
        <v>14</v>
      </c>
      <c r="L52" s="5" t="n">
        <v>2036</v>
      </c>
      <c r="M52" s="5" t="n">
        <v>380</v>
      </c>
      <c r="N52" s="5" t="inlineStr">
        <is>
          <t>Monticelli Ferrovia</t>
        </is>
      </c>
      <c r="O52" s="5" t="n">
        <v>132</v>
      </c>
      <c r="P52" s="5" t="n">
        <v>4.8</v>
      </c>
      <c r="Q52" s="5" t="inlineStr">
        <is>
          <t>CP Monticelli d'Ongina (AC001E01173)</t>
        </is>
      </c>
      <c r="R52" s="5" t="n">
        <v>6240</v>
      </c>
      <c r="S52" s="5" t="n">
        <v>450600</v>
      </c>
      <c r="T52" s="5" t="n">
        <v>4.58</v>
      </c>
      <c r="U52" s="5" t="n">
        <v>4.58</v>
      </c>
      <c r="V52" s="5" t="n">
        <v>7295</v>
      </c>
      <c r="W52" s="5" t="n">
        <v>5.5</v>
      </c>
      <c r="X52" s="5" t="n">
        <v>7.63</v>
      </c>
      <c r="Y52" s="6">
        <f>H52*10000*$D$3</f>
        <v/>
      </c>
      <c r="Z52" s="5" t="n">
        <v>16500</v>
      </c>
      <c r="AA52" s="5" t="n">
        <v>75</v>
      </c>
      <c r="AB52" s="5" t="n">
        <v>45.077314</v>
      </c>
      <c r="AC52" s="5" t="n">
        <v>9.975459000000001</v>
      </c>
      <c r="AD52" s="7" t="inlineStr">
        <is>
          <t>Apri Ortofoto</t>
        </is>
      </c>
      <c r="AE52" s="5" t="inlineStr">
        <is>
          <t>Seminativo aperto in fascia autostradale ≤300m D.Lgs. 199/2021</t>
        </is>
      </c>
      <c r="AF52" s="8" t="n"/>
      <c r="AG52" s="8" t="n"/>
      <c r="AH52" s="5">
        <f>IF(AG52="","",IF(AG52&lt;=$D$3,"SÌ","NO"))</f>
        <v/>
      </c>
    </row>
    <row r="53">
      <c r="A53" s="5" t="n">
        <v>48</v>
      </c>
      <c r="B53" s="5" t="inlineStr">
        <is>
          <t>Top 50 Aperta Campagna</t>
        </is>
      </c>
      <c r="C53" s="5" t="inlineStr">
        <is>
          <t>✅ Priorità 2 · Aperta Campagna Qualificata</t>
        </is>
      </c>
      <c r="D53" s="5" t="inlineStr">
        <is>
          <t>Castel San Giovanni</t>
        </is>
      </c>
      <c r="E53" s="5" t="inlineStr">
        <is>
          <t>C261</t>
        </is>
      </c>
      <c r="F53" s="5" t="n">
        <v>3</v>
      </c>
      <c r="G53" s="5" t="n">
        <v>25</v>
      </c>
      <c r="H53" s="5" t="n">
        <v>5.48</v>
      </c>
      <c r="I53" s="5" t="n">
        <v>5.48</v>
      </c>
      <c r="J53" s="5" t="inlineStr">
        <is>
          <t>A21</t>
        </is>
      </c>
      <c r="K53" s="5" t="n">
        <v>13</v>
      </c>
      <c r="L53" s="5" t="n">
        <v>176</v>
      </c>
      <c r="M53" s="5" t="n">
        <v>132</v>
      </c>
      <c r="N53" s="5" t="inlineStr">
        <is>
          <t>La Casella centrale</t>
        </is>
      </c>
      <c r="O53" s="5" t="n">
        <v>380</v>
      </c>
      <c r="P53" s="5" t="n">
        <v>3.6</v>
      </c>
      <c r="Q53" s="5" t="inlineStr">
        <is>
          <t>CP Arena Po (AC001E01164)</t>
        </is>
      </c>
      <c r="R53" s="5" t="n">
        <v>4680</v>
      </c>
      <c r="S53" s="5" t="n">
        <v>349200</v>
      </c>
      <c r="T53" s="5" t="n">
        <v>4.57</v>
      </c>
      <c r="U53" s="5" t="n">
        <v>4.57</v>
      </c>
      <c r="V53" s="5" t="n">
        <v>7279</v>
      </c>
      <c r="W53" s="5" t="n">
        <v>5.6</v>
      </c>
      <c r="X53" s="5" t="n">
        <v>7.76</v>
      </c>
      <c r="Y53" s="6">
        <f>H53*10000*$D$3</f>
        <v/>
      </c>
      <c r="Z53" s="5" t="n">
        <v>16440</v>
      </c>
      <c r="AA53" s="5" t="n">
        <v>75</v>
      </c>
      <c r="AB53" s="5" t="n">
        <v>45.078836</v>
      </c>
      <c r="AC53" s="5" t="n">
        <v>9.436467</v>
      </c>
      <c r="AD53" s="7" t="inlineStr">
        <is>
          <t>Apri Ortofoto</t>
        </is>
      </c>
      <c r="AE53" s="5" t="inlineStr">
        <is>
          <t>Linea AT 132 kV a ~176 m</t>
        </is>
      </c>
      <c r="AF53" s="8" t="n"/>
      <c r="AG53" s="8" t="n"/>
      <c r="AH53" s="5">
        <f>IF(AG53="","",IF(AG53&lt;=$D$3,"SÌ","NO"))</f>
        <v/>
      </c>
    </row>
    <row r="54">
      <c r="A54" s="5" t="n">
        <v>49</v>
      </c>
      <c r="B54" s="5" t="inlineStr">
        <is>
          <t>Top 50 Aperta Campagna</t>
        </is>
      </c>
      <c r="C54" s="5" t="inlineStr">
        <is>
          <t>🔥 Priorità 1 · Top Taglia / Rete AT Vicina</t>
        </is>
      </c>
      <c r="D54" s="5" t="inlineStr">
        <is>
          <t>Cadeo</t>
        </is>
      </c>
      <c r="E54" s="5" t="inlineStr">
        <is>
          <t>B332</t>
        </is>
      </c>
      <c r="F54" s="5" t="n">
        <v>18</v>
      </c>
      <c r="G54" s="5" t="n">
        <v>16</v>
      </c>
      <c r="H54" s="5" t="n">
        <v>5.42</v>
      </c>
      <c r="I54" s="5" t="n">
        <v>5.42</v>
      </c>
      <c r="J54" s="5" t="inlineStr">
        <is>
          <t>A1</t>
        </is>
      </c>
      <c r="K54" s="5" t="n">
        <v>14</v>
      </c>
      <c r="L54" s="5" t="n">
        <v>226</v>
      </c>
      <c r="M54" s="5" t="n">
        <v>132</v>
      </c>
      <c r="N54" s="5" t="inlineStr">
        <is>
          <t>Cadeo FS</t>
        </is>
      </c>
      <c r="O54" s="5" t="n">
        <v>132</v>
      </c>
      <c r="P54" s="5" t="n">
        <v>1.5</v>
      </c>
      <c r="Q54" s="5" t="inlineStr">
        <is>
          <t>CP Cortemaggiore (AC001E01172)</t>
        </is>
      </c>
      <c r="R54" s="5" t="n">
        <v>1950</v>
      </c>
      <c r="S54" s="5" t="n">
        <v>171750</v>
      </c>
      <c r="T54" s="5" t="n">
        <v>4.52</v>
      </c>
      <c r="U54" s="5" t="n">
        <v>4.52</v>
      </c>
      <c r="V54" s="5" t="n">
        <v>7199</v>
      </c>
      <c r="W54" s="5" t="n">
        <v>5.45</v>
      </c>
      <c r="X54" s="5" t="n">
        <v>7.55</v>
      </c>
      <c r="Y54" s="6">
        <f>H54*10000*$D$3</f>
        <v/>
      </c>
      <c r="Z54" s="5" t="n">
        <v>16260</v>
      </c>
      <c r="AA54" s="5" t="n">
        <v>88</v>
      </c>
      <c r="AB54" s="5" t="n">
        <v>44.979369</v>
      </c>
      <c r="AC54" s="5" t="n">
        <v>9.863315999999999</v>
      </c>
      <c r="AD54" s="7" t="inlineStr">
        <is>
          <t>Apri Ortofoto</t>
        </is>
      </c>
      <c r="AE54" s="5" t="inlineStr">
        <is>
          <t>Linea AT 132 kV a ~226 m; Stazione elettrica Cadeo FS a ~1,5 km</t>
        </is>
      </c>
      <c r="AF54" s="8" t="n"/>
      <c r="AG54" s="8" t="n"/>
      <c r="AH54" s="5">
        <f>IF(AG54="","",IF(AG54&lt;=$D$3,"SÌ","NO"))</f>
        <v/>
      </c>
    </row>
    <row r="55">
      <c r="A55" s="5" t="n">
        <v>50</v>
      </c>
      <c r="B55" s="5" t="inlineStr">
        <is>
          <t>Top 50 Aperta Campagna</t>
        </is>
      </c>
      <c r="C55" s="5" t="inlineStr">
        <is>
          <t>✅ Priorità 2 · Aperta Campagna Qualificata</t>
        </is>
      </c>
      <c r="D55" s="5" t="inlineStr">
        <is>
          <t>Rottofreno</t>
        </is>
      </c>
      <c r="E55" s="5" t="inlineStr">
        <is>
          <t>H593</t>
        </is>
      </c>
      <c r="F55" s="5" t="n">
        <v>13</v>
      </c>
      <c r="G55" s="5" t="n">
        <v>69</v>
      </c>
      <c r="H55" s="5" t="n">
        <v>5.42</v>
      </c>
      <c r="I55" s="5" t="n">
        <v>5.42</v>
      </c>
      <c r="J55" s="5" t="inlineStr">
        <is>
          <t>A21</t>
        </is>
      </c>
      <c r="K55" s="5" t="n">
        <v>12</v>
      </c>
      <c r="L55" s="5" t="n">
        <v>1735</v>
      </c>
      <c r="M55" s="5" t="n">
        <v>132</v>
      </c>
      <c r="N55" s="5" t="inlineStr">
        <is>
          <t>Rottofreno</t>
        </is>
      </c>
      <c r="O55" s="5" t="n">
        <v>132</v>
      </c>
      <c r="P55" s="5" t="n">
        <v>1.9</v>
      </c>
      <c r="Q55" s="5" t="inlineStr">
        <is>
          <t>CP Rottofreno (AC001E01165)</t>
        </is>
      </c>
      <c r="R55" s="5" t="n">
        <v>1147</v>
      </c>
      <c r="S55" s="5" t="n">
        <v>119555</v>
      </c>
      <c r="T55" s="5" t="n">
        <v>4.52</v>
      </c>
      <c r="U55" s="5" t="n">
        <v>4.52</v>
      </c>
      <c r="V55" s="5" t="n">
        <v>7199</v>
      </c>
      <c r="W55" s="5" t="n">
        <v>5.65</v>
      </c>
      <c r="X55" s="5" t="n">
        <v>7.83</v>
      </c>
      <c r="Y55" s="6">
        <f>H55*10000*$D$3</f>
        <v/>
      </c>
      <c r="Z55" s="5" t="n">
        <v>16260</v>
      </c>
      <c r="AA55" s="5" t="n">
        <v>94.5</v>
      </c>
      <c r="AB55" s="5" t="n">
        <v>45.064446</v>
      </c>
      <c r="AC55" s="5" t="n">
        <v>9.558344</v>
      </c>
      <c r="AD55" s="7" t="inlineStr">
        <is>
          <t>Apri Ortofoto</t>
        </is>
      </c>
      <c r="AE55" s="5" t="inlineStr">
        <is>
          <t>Seminativo aperto in fascia autostradale ≤300m D.Lgs. 199/2021</t>
        </is>
      </c>
      <c r="AF55" s="8" t="n"/>
      <c r="AG55" s="8" t="n"/>
      <c r="AH55" s="5">
        <f>IF(AG55="","",IF(AG55&lt;=$D$3,"SÌ","NO"))</f>
        <v/>
      </c>
    </row>
    <row r="56">
      <c r="A56" s="5" t="n">
        <v>51</v>
      </c>
      <c r="B56" s="5" t="inlineStr">
        <is>
          <t>Top 50 Aperta Campagna</t>
        </is>
      </c>
      <c r="C56" s="5" t="inlineStr">
        <is>
          <t>🔥 Priorità 1 · Top Taglia / Rete AT Vicina</t>
        </is>
      </c>
      <c r="D56" s="5" t="inlineStr">
        <is>
          <t>Cadeo</t>
        </is>
      </c>
      <c r="E56" s="5" t="inlineStr">
        <is>
          <t>B332</t>
        </is>
      </c>
      <c r="F56" s="5" t="n">
        <v>18</v>
      </c>
      <c r="G56" s="5" t="n">
        <v>204</v>
      </c>
      <c r="H56" s="5" t="n">
        <v>8.210000000000001</v>
      </c>
      <c r="I56" s="5" t="n">
        <v>5.41</v>
      </c>
      <c r="J56" s="5" t="inlineStr">
        <is>
          <t>A1</t>
        </is>
      </c>
      <c r="K56" s="5" t="n">
        <v>57</v>
      </c>
      <c r="L56" s="5" t="n">
        <v>78</v>
      </c>
      <c r="M56" s="5" t="n">
        <v>132</v>
      </c>
      <c r="N56" s="5" t="inlineStr">
        <is>
          <t>Cadeo FS</t>
        </is>
      </c>
      <c r="O56" s="5" t="n">
        <v>132</v>
      </c>
      <c r="P56" s="5" t="n">
        <v>1.8</v>
      </c>
      <c r="Q56" s="5" t="inlineStr">
        <is>
          <t>CP Cortemaggiore (AC001E01172)</t>
        </is>
      </c>
      <c r="R56" s="5" t="n">
        <v>2340</v>
      </c>
      <c r="S56" s="5" t="n">
        <v>197100</v>
      </c>
      <c r="T56" s="5" t="n">
        <v>6.84</v>
      </c>
      <c r="U56" s="5" t="n">
        <v>4.51</v>
      </c>
      <c r="V56" s="5" t="n">
        <v>10894</v>
      </c>
      <c r="W56" s="5" t="n">
        <v>5.45</v>
      </c>
      <c r="X56" s="5" t="n">
        <v>7.55</v>
      </c>
      <c r="Y56" s="6">
        <f>H56*10000*$D$3</f>
        <v/>
      </c>
      <c r="Z56" s="5" t="n">
        <v>24630</v>
      </c>
      <c r="AA56" s="5" t="n">
        <v>86.5</v>
      </c>
      <c r="AB56" s="5" t="n">
        <v>44.985103</v>
      </c>
      <c r="AC56" s="5" t="n">
        <v>9.859048</v>
      </c>
      <c r="AD56" s="7" t="inlineStr">
        <is>
          <t>Apri Ortofoto</t>
        </is>
      </c>
      <c r="AE56" s="5" t="inlineStr">
        <is>
          <t>Linea AT 132 kV a ~78 m; 2,8 ha oltre i 300 m</t>
        </is>
      </c>
      <c r="AF56" s="8" t="n"/>
      <c r="AG56" s="8" t="n"/>
      <c r="AH56" s="5">
        <f>IF(AG56="","",IF(AG56&lt;=$D$3,"SÌ","NO"))</f>
        <v/>
      </c>
    </row>
    <row r="57">
      <c r="A57" s="5" t="n">
        <v>52</v>
      </c>
      <c r="B57" s="5" t="inlineStr">
        <is>
          <t>Top 50 Aperta Campagna</t>
        </is>
      </c>
      <c r="C57" s="5" t="inlineStr">
        <is>
          <t>🔥 Priorità 1 · Top Taglia / Rete AT Vicina</t>
        </is>
      </c>
      <c r="D57" s="5" t="inlineStr">
        <is>
          <t>Pontenure</t>
        </is>
      </c>
      <c r="E57" s="5" t="inlineStr">
        <is>
          <t>G852</t>
        </is>
      </c>
      <c r="F57" s="5" t="n">
        <v>12</v>
      </c>
      <c r="G57" s="5" t="n">
        <v>580</v>
      </c>
      <c r="H57" s="5" t="n">
        <v>6.2</v>
      </c>
      <c r="I57" s="5" t="n">
        <v>5.39</v>
      </c>
      <c r="J57" s="5" t="inlineStr">
        <is>
          <t>A1</t>
        </is>
      </c>
      <c r="K57" s="5" t="n">
        <v>56</v>
      </c>
      <c r="L57" s="5" t="n">
        <v>127</v>
      </c>
      <c r="M57" s="5" t="n">
        <v>132</v>
      </c>
      <c r="N57" s="5" t="inlineStr">
        <is>
          <t>(senza nome)</t>
        </is>
      </c>
      <c r="O57" s="5" t="n">
        <v>132</v>
      </c>
      <c r="P57" s="5" t="n">
        <v>3.3</v>
      </c>
      <c r="Q57" s="5" t="inlineStr">
        <is>
          <t>CP Pontenure (AC001E01166)</t>
        </is>
      </c>
      <c r="R57" s="5" t="n">
        <v>3461</v>
      </c>
      <c r="S57" s="5" t="n">
        <v>269965</v>
      </c>
      <c r="T57" s="5" t="n">
        <v>5.17</v>
      </c>
      <c r="U57" s="5" t="n">
        <v>4.49</v>
      </c>
      <c r="V57" s="5" t="n">
        <v>8234</v>
      </c>
      <c r="W57" s="5" t="n">
        <v>5.85</v>
      </c>
      <c r="X57" s="5" t="n">
        <v>8</v>
      </c>
      <c r="Y57" s="6">
        <f>H57*10000*$D$3</f>
        <v/>
      </c>
      <c r="Z57" s="5" t="n">
        <v>18600</v>
      </c>
      <c r="AA57" s="5" t="n">
        <v>81.5</v>
      </c>
      <c r="AB57" s="5" t="n">
        <v>45.006448</v>
      </c>
      <c r="AC57" s="5" t="n">
        <v>9.804460000000001</v>
      </c>
      <c r="AD57" s="7" t="inlineStr">
        <is>
          <t>Apri Ortofoto</t>
        </is>
      </c>
      <c r="AE57" s="5" t="inlineStr">
        <is>
          <t>Linea AT 132 kV a ~127 m; Area dismessa a ~254 m: verificare la destinazione urbanistica; 0,8 ha oltre i 300 m</t>
        </is>
      </c>
      <c r="AF57" s="8" t="n"/>
      <c r="AG57" s="8" t="n"/>
      <c r="AH57" s="5">
        <f>IF(AG57="","",IF(AG57&lt;=$D$3,"SÌ","NO"))</f>
        <v/>
      </c>
    </row>
    <row r="58">
      <c r="A58" s="5" t="n">
        <v>53</v>
      </c>
      <c r="B58" s="5" t="inlineStr">
        <is>
          <t>Top 50 Aperta Campagna</t>
        </is>
      </c>
      <c r="C58" s="5" t="inlineStr">
        <is>
          <t>✅ Priorità 2 · Aperta Campagna Qualificata</t>
        </is>
      </c>
      <c r="D58" s="5" t="inlineStr">
        <is>
          <t>Calendasco</t>
        </is>
      </c>
      <c r="E58" s="5" t="inlineStr">
        <is>
          <t>B405</t>
        </is>
      </c>
      <c r="F58" s="5" t="n">
        <v>30</v>
      </c>
      <c r="G58" s="5" t="n">
        <v>30</v>
      </c>
      <c r="H58" s="5" t="n">
        <v>5.37</v>
      </c>
      <c r="I58" s="5" t="n">
        <v>5.37</v>
      </c>
      <c r="J58" s="5" t="inlineStr">
        <is>
          <t>A21</t>
        </is>
      </c>
      <c r="K58" s="5" t="n">
        <v>10</v>
      </c>
      <c r="L58" s="5" t="n">
        <v>676</v>
      </c>
      <c r="M58" s="5" t="n">
        <v>132</v>
      </c>
      <c r="N58" s="5" t="inlineStr">
        <is>
          <t>Rottofreno</t>
        </is>
      </c>
      <c r="O58" s="5" t="n">
        <v>132</v>
      </c>
      <c r="P58" s="5" t="n">
        <v>1.6</v>
      </c>
      <c r="Q58" s="5" t="inlineStr">
        <is>
          <t>CP Rottofreno (AC001E01165)</t>
        </is>
      </c>
      <c r="R58" s="5" t="n">
        <v>2080</v>
      </c>
      <c r="S58" s="5" t="n">
        <v>180200</v>
      </c>
      <c r="T58" s="5" t="n">
        <v>4.48</v>
      </c>
      <c r="U58" s="5" t="n">
        <v>4.48</v>
      </c>
      <c r="V58" s="5" t="n">
        <v>7135</v>
      </c>
      <c r="W58" s="5" t="n">
        <v>5.65</v>
      </c>
      <c r="X58" s="5" t="n">
        <v>7.83</v>
      </c>
      <c r="Y58" s="6">
        <f>H58*10000*$D$3</f>
        <v/>
      </c>
      <c r="Z58" s="5" t="n">
        <v>16110</v>
      </c>
      <c r="AA58" s="5" t="n">
        <v>84</v>
      </c>
      <c r="AB58" s="5" t="n">
        <v>45.065028</v>
      </c>
      <c r="AC58" s="5" t="n">
        <v>9.590605</v>
      </c>
      <c r="AD58" s="7" t="inlineStr">
        <is>
          <t>Apri Ortofoto</t>
        </is>
      </c>
      <c r="AE58" s="5" t="inlineStr">
        <is>
          <t>Area produttiva a ~347 m: verificare la destinazione urbanistica</t>
        </is>
      </c>
      <c r="AF58" s="8" t="n"/>
      <c r="AG58" s="8" t="n"/>
      <c r="AH58" s="5">
        <f>IF(AG58="","",IF(AG58&lt;=$D$3,"SÌ","NO"))</f>
        <v/>
      </c>
    </row>
    <row r="59">
      <c r="A59" s="5" t="n">
        <v>54</v>
      </c>
      <c r="B59" s="5" t="inlineStr">
        <is>
          <t>Top 50 Aperta Campagna</t>
        </is>
      </c>
      <c r="C59" s="5" t="inlineStr">
        <is>
          <t>✅ Priorità 2 · Aperta Campagna Qualificata</t>
        </is>
      </c>
      <c r="D59" s="5" t="inlineStr">
        <is>
          <t>Cadeo</t>
        </is>
      </c>
      <c r="E59" s="5" t="inlineStr">
        <is>
          <t>B332</t>
        </is>
      </c>
      <c r="F59" s="5" t="n">
        <v>9</v>
      </c>
      <c r="G59" s="5" t="n">
        <v>242</v>
      </c>
      <c r="H59" s="5" t="n">
        <v>11.07</v>
      </c>
      <c r="I59" s="5" t="n">
        <v>5.35</v>
      </c>
      <c r="J59" s="5" t="inlineStr">
        <is>
          <t>A1</t>
        </is>
      </c>
      <c r="K59" s="5" t="n">
        <v>96</v>
      </c>
      <c r="L59" s="5" t="n">
        <v>278</v>
      </c>
      <c r="M59" s="5" t="n">
        <v>132</v>
      </c>
      <c r="N59" s="5" t="inlineStr">
        <is>
          <t>Cadeo FS</t>
        </is>
      </c>
      <c r="O59" s="5" t="n">
        <v>132</v>
      </c>
      <c r="P59" s="5" t="n">
        <v>2.2</v>
      </c>
      <c r="Q59" s="5" t="inlineStr">
        <is>
          <t>CP Pontenure 132/15 kV</t>
        </is>
      </c>
      <c r="R59" s="5" t="n">
        <v>2860</v>
      </c>
      <c r="S59" s="5" t="n">
        <v>230900</v>
      </c>
      <c r="T59" s="5" t="n">
        <v>9.23</v>
      </c>
      <c r="U59" s="5" t="n">
        <v>4.46</v>
      </c>
      <c r="V59" s="5" t="n">
        <v>14701</v>
      </c>
      <c r="W59" s="5" t="n">
        <v>5.45</v>
      </c>
      <c r="X59" s="5" t="n">
        <v>7.55</v>
      </c>
      <c r="Y59" s="6">
        <f>H59*10000*$D$3</f>
        <v/>
      </c>
      <c r="Z59" s="5" t="n">
        <v>33210</v>
      </c>
      <c r="AA59" s="5" t="n">
        <v>84.5</v>
      </c>
      <c r="AB59" s="5" t="n">
        <v>44.987516</v>
      </c>
      <c r="AC59" s="5" t="n">
        <v>9.838506000000001</v>
      </c>
      <c r="AD59" s="7" t="inlineStr">
        <is>
          <t>Apri Ortofoto</t>
        </is>
      </c>
      <c r="AE59" s="5" t="inlineStr">
        <is>
          <t>Linea AT 132 kV a ~278 m; 5,7 ha oltre i 300 m</t>
        </is>
      </c>
      <c r="AF59" s="8" t="n"/>
      <c r="AG59" s="8" t="n"/>
      <c r="AH59" s="5">
        <f>IF(AG59="","",IF(AG59&lt;=$D$3,"SÌ","NO"))</f>
        <v/>
      </c>
    </row>
    <row r="60">
      <c r="A60" s="5" t="n">
        <v>55</v>
      </c>
      <c r="B60" s="5" t="inlineStr">
        <is>
          <t>Estensione WMS AdE (Griglia Sfalsata)</t>
        </is>
      </c>
      <c r="C60" s="5" t="inlineStr">
        <is>
          <t>🔥 Priorità 1 · Top Taglia / Rete AT Vicina</t>
        </is>
      </c>
      <c r="D60" s="5" t="inlineStr">
        <is>
          <t>Cadeo</t>
        </is>
      </c>
      <c r="E60" s="5" t="inlineStr">
        <is>
          <t>B332</t>
        </is>
      </c>
      <c r="F60" s="5" t="n">
        <v>18</v>
      </c>
      <c r="G60" s="5" t="n">
        <v>186</v>
      </c>
      <c r="H60" s="5" t="n">
        <v>5.34</v>
      </c>
      <c r="I60" s="5" t="n">
        <v>5.34</v>
      </c>
      <c r="J60" s="5" t="inlineStr">
        <is>
          <t>A1</t>
        </is>
      </c>
      <c r="K60" s="5" t="n">
        <v>69</v>
      </c>
      <c r="L60" s="5" t="n">
        <v>44</v>
      </c>
      <c r="M60" s="5" t="n">
        <v>132</v>
      </c>
      <c r="N60" s="5" t="inlineStr">
        <is>
          <t>Cadeo FS</t>
        </is>
      </c>
      <c r="O60" s="5" t="n">
        <v>132</v>
      </c>
      <c r="P60" s="5" t="n">
        <v>1.8</v>
      </c>
      <c r="Q60" s="5" t="inlineStr">
        <is>
          <t>CP Cortemaggiore (AC001E01172)</t>
        </is>
      </c>
      <c r="R60" s="5" t="n">
        <v>2340</v>
      </c>
      <c r="S60" s="5" t="n">
        <v>197100</v>
      </c>
      <c r="T60" s="5" t="n">
        <v>4.45</v>
      </c>
      <c r="U60" s="5" t="n">
        <v>4.45</v>
      </c>
      <c r="V60" s="5" t="n">
        <v>7088</v>
      </c>
      <c r="W60" s="5" t="n">
        <v>5.45</v>
      </c>
      <c r="X60" s="5" t="n">
        <v>7.55</v>
      </c>
      <c r="Y60" s="6">
        <f>H60*10000*$D$3</f>
        <v/>
      </c>
      <c r="Z60" s="5" t="n">
        <v>16020</v>
      </c>
      <c r="AA60" s="5" t="n">
        <v>86.5</v>
      </c>
      <c r="AB60" s="5" t="n">
        <v>44.981234</v>
      </c>
      <c r="AC60" s="5" t="n">
        <v>9.865690000000001</v>
      </c>
      <c r="AD60" s="7" t="inlineStr">
        <is>
          <t>Apri Ortofoto</t>
        </is>
      </c>
      <c r="AE60" s="5" t="inlineStr">
        <is>
          <t>Linea AT 132 kV a ~44 m; Stazione elettrica Cadeo FS a ~1,8 km</t>
        </is>
      </c>
      <c r="AF60" s="8" t="n"/>
      <c r="AG60" s="8" t="n"/>
      <c r="AH60" s="5">
        <f>IF(AG60="","",IF(AG60&lt;=$D$3,"SÌ","NO"))</f>
        <v/>
      </c>
    </row>
    <row r="61">
      <c r="A61" s="5" t="n">
        <v>56</v>
      </c>
      <c r="B61" s="5" t="inlineStr">
        <is>
          <t>Estensione WMS AdE (Griglia Sfalsata)</t>
        </is>
      </c>
      <c r="C61" s="5" t="inlineStr">
        <is>
          <t>✅ Priorità 2 · Aperta Campagna Qualificata</t>
        </is>
      </c>
      <c r="D61" s="5" t="inlineStr">
        <is>
          <t>Fiorenzuola d'Arda</t>
        </is>
      </c>
      <c r="E61" s="5" t="inlineStr">
        <is>
          <t>D611</t>
        </is>
      </c>
      <c r="F61" s="5" t="n">
        <v>9</v>
      </c>
      <c r="G61" s="5" t="n">
        <v>13</v>
      </c>
      <c r="H61" s="5" t="n">
        <v>5.32</v>
      </c>
      <c r="I61" s="5" t="n">
        <v>5.32</v>
      </c>
      <c r="J61" s="5" t="inlineStr">
        <is>
          <t>A1</t>
        </is>
      </c>
      <c r="K61" s="5" t="n">
        <v>12</v>
      </c>
      <c r="L61" s="5" t="n">
        <v>320</v>
      </c>
      <c r="M61" s="5" t="n">
        <v>132</v>
      </c>
      <c r="N61" s="5" t="inlineStr">
        <is>
          <t>Fiorenzuola AV</t>
        </is>
      </c>
      <c r="O61" s="5" t="n">
        <v>132</v>
      </c>
      <c r="P61" s="5" t="n">
        <v>1.6</v>
      </c>
      <c r="Q61" s="5" t="inlineStr">
        <is>
          <t>CP Fiorenzuola d'Arda (AC001E01230)</t>
        </is>
      </c>
      <c r="R61" s="5" t="n">
        <v>2080</v>
      </c>
      <c r="S61" s="5" t="n">
        <v>180200</v>
      </c>
      <c r="T61" s="5" t="n">
        <v>4.43</v>
      </c>
      <c r="U61" s="5" t="n">
        <v>4.43</v>
      </c>
      <c r="V61" s="5" t="n">
        <v>7056</v>
      </c>
      <c r="W61" s="5" t="n">
        <v>5.45</v>
      </c>
      <c r="X61" s="5" t="n">
        <v>7.55</v>
      </c>
      <c r="Y61" s="6">
        <f>H61*10000*$D$3</f>
        <v/>
      </c>
      <c r="Z61" s="5" t="n">
        <v>15960</v>
      </c>
      <c r="AA61" s="5" t="n">
        <v>84</v>
      </c>
      <c r="AB61" s="5" t="n">
        <v>44.961426</v>
      </c>
      <c r="AC61" s="5" t="n">
        <v>9.906014000000001</v>
      </c>
      <c r="AD61" s="7" t="inlineStr">
        <is>
          <t>Apri Ortofoto</t>
        </is>
      </c>
      <c r="AE61" s="5" t="inlineStr">
        <is>
          <t>Stazione elettrica Fiorenzuola AV a ~1,6 km</t>
        </is>
      </c>
      <c r="AF61" s="8" t="n"/>
      <c r="AG61" s="8" t="n"/>
      <c r="AH61" s="5">
        <f>IF(AG61="","",IF(AG61&lt;=$D$3,"SÌ","NO"))</f>
        <v/>
      </c>
    </row>
    <row r="62">
      <c r="A62" s="5" t="n">
        <v>57</v>
      </c>
      <c r="B62" s="5" t="inlineStr">
        <is>
          <t>Top 50 Aperta Campagna</t>
        </is>
      </c>
      <c r="C62" s="5" t="inlineStr">
        <is>
          <t>🔥 Priorità 1 · Top Taglia / Rete AT Vicina</t>
        </is>
      </c>
      <c r="D62" s="5" t="inlineStr">
        <is>
          <t>Pontenure</t>
        </is>
      </c>
      <c r="E62" s="5" t="inlineStr">
        <is>
          <t>G852</t>
        </is>
      </c>
      <c r="F62" s="5" t="n">
        <v>13</v>
      </c>
      <c r="G62" s="5" t="n">
        <v>15</v>
      </c>
      <c r="H62" s="5" t="n">
        <v>6.18</v>
      </c>
      <c r="I62" s="5" t="n">
        <v>5.31</v>
      </c>
      <c r="J62" s="5" t="inlineStr">
        <is>
          <t>A1</t>
        </is>
      </c>
      <c r="K62" s="5" t="n">
        <v>58</v>
      </c>
      <c r="L62" s="5" t="n">
        <v>150</v>
      </c>
      <c r="M62" s="5" t="n">
        <v>132</v>
      </c>
      <c r="N62" s="5" t="inlineStr">
        <is>
          <t>(senza nome)</t>
        </is>
      </c>
      <c r="O62" s="5" t="n">
        <v>132</v>
      </c>
      <c r="P62" s="5" t="n">
        <v>4.1</v>
      </c>
      <c r="Q62" s="5" t="inlineStr">
        <is>
          <t>CP Pontenure 132/15 kV</t>
        </is>
      </c>
      <c r="R62" s="5" t="n">
        <v>4416</v>
      </c>
      <c r="S62" s="5" t="n">
        <v>332040</v>
      </c>
      <c r="T62" s="5" t="n">
        <v>5.15</v>
      </c>
      <c r="U62" s="5" t="n">
        <v>4.42</v>
      </c>
      <c r="V62" s="5" t="n">
        <v>8202</v>
      </c>
      <c r="W62" s="5" t="n">
        <v>5.85</v>
      </c>
      <c r="X62" s="5" t="n">
        <v>8</v>
      </c>
      <c r="Y62" s="6">
        <f>H62*10000*$D$3</f>
        <v/>
      </c>
      <c r="Z62" s="5" t="n">
        <v>18540</v>
      </c>
      <c r="AA62" s="5" t="n">
        <v>81.5</v>
      </c>
      <c r="AB62" s="5" t="n">
        <v>45.002674</v>
      </c>
      <c r="AC62" s="5" t="n">
        <v>9.813984</v>
      </c>
      <c r="AD62" s="7" t="inlineStr">
        <is>
          <t>Apri Ortofoto</t>
        </is>
      </c>
      <c r="AE62" s="5" t="inlineStr">
        <is>
          <t>Linea AT 132 kV a ~150 m; 0,9 ha oltre i 300 m</t>
        </is>
      </c>
      <c r="AF62" s="8" t="n"/>
      <c r="AG62" s="8" t="n"/>
      <c r="AH62" s="5">
        <f>IF(AG62="","",IF(AG62&lt;=$D$3,"SÌ","NO"))</f>
        <v/>
      </c>
    </row>
    <row r="63">
      <c r="A63" s="5" t="n">
        <v>58</v>
      </c>
      <c r="B63" s="5" t="inlineStr">
        <is>
          <t>Top 50 Aperta Campagna</t>
        </is>
      </c>
      <c r="C63" s="5" t="inlineStr">
        <is>
          <t>✅ Priorità 2 · Aperta Campagna Qualificata</t>
        </is>
      </c>
      <c r="D63" s="5" t="inlineStr">
        <is>
          <t>Castelvetro Piacentino</t>
        </is>
      </c>
      <c r="E63" s="5" t="inlineStr">
        <is>
          <t>C288</t>
        </is>
      </c>
      <c r="F63" s="5" t="n">
        <v>24</v>
      </c>
      <c r="G63" s="5" t="n">
        <v>75</v>
      </c>
      <c r="H63" s="5" t="n">
        <v>5.16</v>
      </c>
      <c r="I63" s="5" t="n">
        <v>5.16</v>
      </c>
      <c r="J63" s="5" t="inlineStr">
        <is>
          <t>A21</t>
        </is>
      </c>
      <c r="K63" s="5" t="n">
        <v>18</v>
      </c>
      <c r="L63" s="5" t="n">
        <v>992</v>
      </c>
      <c r="M63" s="5" t="n">
        <v>380</v>
      </c>
      <c r="N63" s="5" t="inlineStr">
        <is>
          <t>Monticelli Ferrovia</t>
        </is>
      </c>
      <c r="O63" s="5" t="n">
        <v>132</v>
      </c>
      <c r="P63" s="5" t="n">
        <v>3.2</v>
      </c>
      <c r="Q63" s="5" t="inlineStr">
        <is>
          <t>CP Monticelli d'Ongina (AC001E01173)</t>
        </is>
      </c>
      <c r="R63" s="5" t="n">
        <v>4160</v>
      </c>
      <c r="S63" s="5" t="n">
        <v>315400</v>
      </c>
      <c r="T63" s="5" t="n">
        <v>4.3</v>
      </c>
      <c r="U63" s="5" t="n">
        <v>4.3</v>
      </c>
      <c r="V63" s="5" t="n">
        <v>6849</v>
      </c>
      <c r="W63" s="5" t="n">
        <v>5.5</v>
      </c>
      <c r="X63" s="5" t="n">
        <v>7.63</v>
      </c>
      <c r="Y63" s="6">
        <f>H63*10000*$D$3</f>
        <v/>
      </c>
      <c r="Z63" s="5" t="n">
        <v>15480</v>
      </c>
      <c r="AA63" s="5" t="n">
        <v>79</v>
      </c>
      <c r="AB63" s="5" t="n">
        <v>45.067571</v>
      </c>
      <c r="AC63" s="5" t="n">
        <v>9.95946</v>
      </c>
      <c r="AD63" s="7" t="inlineStr">
        <is>
          <t>Apri Ortofoto</t>
        </is>
      </c>
      <c r="AE63" s="5" t="inlineStr">
        <is>
          <t>Seminativo aperto in fascia autostradale ≤300m D.Lgs. 199/2021</t>
        </is>
      </c>
      <c r="AF63" s="8" t="n"/>
      <c r="AG63" s="8" t="n"/>
      <c r="AH63" s="5">
        <f>IF(AG63="","",IF(AG63&lt;=$D$3,"SÌ","NO"))</f>
        <v/>
      </c>
    </row>
    <row r="64">
      <c r="A64" s="5" t="n">
        <v>59</v>
      </c>
      <c r="B64" s="5" t="inlineStr">
        <is>
          <t>Top 50 Aperta Campagna</t>
        </is>
      </c>
      <c r="C64" s="5" t="inlineStr">
        <is>
          <t>🔥 Priorità 1 · Top Taglia / Rete AT Vicina</t>
        </is>
      </c>
      <c r="D64" s="5" t="inlineStr">
        <is>
          <t>Cadeo</t>
        </is>
      </c>
      <c r="E64" s="5" t="inlineStr">
        <is>
          <t>B332</t>
        </is>
      </c>
      <c r="F64" s="5" t="n">
        <v>9</v>
      </c>
      <c r="G64" s="5" t="n">
        <v>240</v>
      </c>
      <c r="H64" s="5" t="n">
        <v>5.14</v>
      </c>
      <c r="I64" s="5" t="n">
        <v>5.14</v>
      </c>
      <c r="J64" s="5" t="inlineStr">
        <is>
          <t>A1</t>
        </is>
      </c>
      <c r="K64" s="5" t="n">
        <v>62</v>
      </c>
      <c r="L64" s="5" t="n">
        <v>12</v>
      </c>
      <c r="M64" s="5" t="n">
        <v>380</v>
      </c>
      <c r="N64" s="5" t="inlineStr">
        <is>
          <t>Cadeo FS</t>
        </is>
      </c>
      <c r="O64" s="5" t="n">
        <v>132</v>
      </c>
      <c r="P64" s="5" t="n">
        <v>2.3</v>
      </c>
      <c r="Q64" s="5" t="inlineStr">
        <is>
          <t>CP Pontenure 132/15 kV</t>
        </is>
      </c>
      <c r="R64" s="5" t="n">
        <v>2990</v>
      </c>
      <c r="S64" s="5" t="n">
        <v>239350</v>
      </c>
      <c r="T64" s="5" t="n">
        <v>4.28</v>
      </c>
      <c r="U64" s="5" t="n">
        <v>4.28</v>
      </c>
      <c r="V64" s="5" t="n">
        <v>6817</v>
      </c>
      <c r="W64" s="5" t="n">
        <v>5.45</v>
      </c>
      <c r="X64" s="5" t="n">
        <v>7.55</v>
      </c>
      <c r="Y64" s="6">
        <f>H64*10000*$D$3</f>
        <v/>
      </c>
      <c r="Z64" s="5" t="n">
        <v>15420</v>
      </c>
      <c r="AA64" s="5" t="n">
        <v>86.5</v>
      </c>
      <c r="AB64" s="5" t="n">
        <v>44.989923</v>
      </c>
      <c r="AC64" s="5" t="n">
        <v>9.84549</v>
      </c>
      <c r="AD64" s="7" t="inlineStr">
        <is>
          <t>Apri Ortofoto</t>
        </is>
      </c>
      <c r="AE64" s="5" t="inlineStr">
        <is>
          <t>Linea AT 380 kV sul fondo o al confine: condiziona il layout, ma la rete è vicina</t>
        </is>
      </c>
      <c r="AF64" s="8" t="n"/>
      <c r="AG64" s="8" t="n"/>
      <c r="AH64" s="5">
        <f>IF(AG64="","",IF(AG64&lt;=$D$3,"SÌ","NO"))</f>
        <v/>
      </c>
    </row>
    <row r="65">
      <c r="A65" s="5" t="n">
        <v>60</v>
      </c>
      <c r="B65" s="5" t="inlineStr">
        <is>
          <t>Top 50 Aperta Campagna</t>
        </is>
      </c>
      <c r="C65" s="5" t="inlineStr">
        <is>
          <t>✅ Priorità 2 · Aperta Campagna Qualificata</t>
        </is>
      </c>
      <c r="D65" s="5" t="inlineStr">
        <is>
          <t>Fiorenzuola d'Arda</t>
        </is>
      </c>
      <c r="E65" s="5" t="inlineStr">
        <is>
          <t>D611</t>
        </is>
      </c>
      <c r="F65" s="5" t="n">
        <v>16</v>
      </c>
      <c r="G65" s="5" t="n">
        <v>28</v>
      </c>
      <c r="H65" s="5" t="n">
        <v>5.04</v>
      </c>
      <c r="I65" s="5" t="n">
        <v>5.04</v>
      </c>
      <c r="J65" s="5" t="inlineStr">
        <is>
          <t>A1</t>
        </is>
      </c>
      <c r="K65" s="5" t="n">
        <v>23</v>
      </c>
      <c r="L65" s="5" t="n">
        <v>303</v>
      </c>
      <c r="M65" s="5" t="n">
        <v>132</v>
      </c>
      <c r="N65" s="5" t="inlineStr">
        <is>
          <t>Fiorenzuola</t>
        </is>
      </c>
      <c r="O65" s="5" t="n">
        <v>132</v>
      </c>
      <c r="P65" s="5" t="n">
        <v>3.1</v>
      </c>
      <c r="Q65" s="5" t="inlineStr">
        <is>
          <t>CP Fiorenzuola d'Arda (AC001E01230)</t>
        </is>
      </c>
      <c r="R65" s="5" t="n">
        <v>4030</v>
      </c>
      <c r="S65" s="5" t="n">
        <v>306950</v>
      </c>
      <c r="T65" s="5" t="n">
        <v>4.2</v>
      </c>
      <c r="U65" s="5" t="n">
        <v>4.2</v>
      </c>
      <c r="V65" s="5" t="n">
        <v>6689</v>
      </c>
      <c r="W65" s="5" t="n">
        <v>5.45</v>
      </c>
      <c r="X65" s="5" t="n">
        <v>7.55</v>
      </c>
      <c r="Y65" s="6">
        <f>H65*10000*$D$3</f>
        <v/>
      </c>
      <c r="Z65" s="5" t="n">
        <v>15120</v>
      </c>
      <c r="AA65" s="5" t="n">
        <v>79</v>
      </c>
      <c r="AB65" s="5" t="n">
        <v>44.953508</v>
      </c>
      <c r="AC65" s="5" t="n">
        <v>9.922945</v>
      </c>
      <c r="AD65" s="7" t="inlineStr">
        <is>
          <t>Apri Ortofoto</t>
        </is>
      </c>
      <c r="AE65" s="5" t="inlineStr">
        <is>
          <t>Seminativo aperto in fascia autostradale ≤300m D.Lgs. 199/2021</t>
        </is>
      </c>
      <c r="AF65" s="8" t="n"/>
      <c r="AG65" s="8" t="n"/>
      <c r="AH65" s="5">
        <f>IF(AG65="","",IF(AG65&lt;=$D$3,"SÌ","NO"))</f>
        <v/>
      </c>
    </row>
    <row r="66">
      <c r="A66" s="5" t="n">
        <v>61</v>
      </c>
      <c r="B66" s="5" t="inlineStr">
        <is>
          <t>Top 50 Aperta Campagna</t>
        </is>
      </c>
      <c r="C66" s="5" t="inlineStr">
        <is>
          <t>🔥 Priorità 1 · Top Taglia / Rete AT Vicina</t>
        </is>
      </c>
      <c r="D66" s="5" t="inlineStr">
        <is>
          <t>Cadeo</t>
        </is>
      </c>
      <c r="E66" s="5" t="inlineStr">
        <is>
          <t>B332</t>
        </is>
      </c>
      <c r="F66" s="5" t="n">
        <v>18</v>
      </c>
      <c r="G66" s="5" t="n">
        <v>182</v>
      </c>
      <c r="H66" s="5" t="n">
        <v>5.01</v>
      </c>
      <c r="I66" s="5" t="n">
        <v>5.01</v>
      </c>
      <c r="J66" s="5" t="inlineStr">
        <is>
          <t>A1</t>
        </is>
      </c>
      <c r="K66" s="5" t="n">
        <v>82</v>
      </c>
      <c r="L66" s="5" t="n">
        <v>64</v>
      </c>
      <c r="M66" s="5" t="n">
        <v>380</v>
      </c>
      <c r="N66" s="5" t="inlineStr">
        <is>
          <t>Cadeo FS</t>
        </is>
      </c>
      <c r="O66" s="5" t="n">
        <v>132</v>
      </c>
      <c r="P66" s="5" t="n">
        <v>1.4</v>
      </c>
      <c r="Q66" s="5" t="inlineStr">
        <is>
          <t>CP Cortemaggiore (AC001E01172)</t>
        </is>
      </c>
      <c r="R66" s="5" t="n">
        <v>1820</v>
      </c>
      <c r="S66" s="5" t="n">
        <v>163300</v>
      </c>
      <c r="T66" s="5" t="n">
        <v>4.17</v>
      </c>
      <c r="U66" s="5" t="n">
        <v>4.17</v>
      </c>
      <c r="V66" s="5" t="n">
        <v>6642</v>
      </c>
      <c r="W66" s="5" t="n">
        <v>5.45</v>
      </c>
      <c r="X66" s="5" t="n">
        <v>7.55</v>
      </c>
      <c r="Y66" s="6">
        <f>H66*10000*$D$3</f>
        <v/>
      </c>
      <c r="Z66" s="5" t="n">
        <v>15030</v>
      </c>
      <c r="AA66" s="5" t="n">
        <v>90.5</v>
      </c>
      <c r="AB66" s="5" t="n">
        <v>44.980825</v>
      </c>
      <c r="AC66" s="5" t="n">
        <v>9.858222</v>
      </c>
      <c r="AD66" s="7" t="inlineStr">
        <is>
          <t>Apri Ortofoto</t>
        </is>
      </c>
      <c r="AE66" s="5" t="inlineStr">
        <is>
          <t>Linea AT 380 kV a ~64 m; Stazione elettrica Cadeo FS a ~1,4 km</t>
        </is>
      </c>
      <c r="AF66" s="8" t="n"/>
      <c r="AG66" s="8" t="n"/>
      <c r="AH66" s="5">
        <f>IF(AG66="","",IF(AG66&lt;=$D$3,"SÌ","NO"))</f>
        <v/>
      </c>
    </row>
    <row r="67">
      <c r="A67" s="5" t="n">
        <v>62</v>
      </c>
      <c r="B67" s="5" t="inlineStr">
        <is>
          <t>Top 50 Aperta Campagna</t>
        </is>
      </c>
      <c r="C67" s="5" t="inlineStr">
        <is>
          <t>🔥 Priorità 1 · Top Taglia / Rete AT Vicina</t>
        </is>
      </c>
      <c r="D67" s="5" t="inlineStr">
        <is>
          <t>San Pietro in Cerro</t>
        </is>
      </c>
      <c r="E67" s="5" t="inlineStr">
        <is>
          <t>G788</t>
        </is>
      </c>
      <c r="F67" s="5" t="n">
        <v>1</v>
      </c>
      <c r="G67" s="5" t="n">
        <v>2</v>
      </c>
      <c r="H67" s="5" t="n">
        <v>5.01</v>
      </c>
      <c r="I67" s="5" t="n">
        <v>5.01</v>
      </c>
      <c r="J67" s="5" t="inlineStr">
        <is>
          <t>A21</t>
        </is>
      </c>
      <c r="K67" s="5" t="n">
        <v>20</v>
      </c>
      <c r="L67" s="5" t="n">
        <v>308</v>
      </c>
      <c r="M67" s="5" t="n">
        <v>380</v>
      </c>
      <c r="N67" s="5" t="inlineStr">
        <is>
          <t>Monticelli FS</t>
        </is>
      </c>
      <c r="O67" s="5" t="n">
        <v>132</v>
      </c>
      <c r="P67" s="5" t="n">
        <v>0.6</v>
      </c>
      <c r="Q67" s="5" t="inlineStr">
        <is>
          <t>CP Monticelli d'Ongina (AC001E01173)</t>
        </is>
      </c>
      <c r="R67" s="5" t="n">
        <v>780</v>
      </c>
      <c r="S67" s="5" t="n">
        <v>95700</v>
      </c>
      <c r="T67" s="5" t="n">
        <v>4.17</v>
      </c>
      <c r="U67" s="5" t="n">
        <v>4.17</v>
      </c>
      <c r="V67" s="5" t="n">
        <v>6642</v>
      </c>
      <c r="W67" s="5" t="n">
        <v>5.5</v>
      </c>
      <c r="X67" s="5" t="n">
        <v>7.63</v>
      </c>
      <c r="Y67" s="6">
        <f>H67*10000*$D$3</f>
        <v/>
      </c>
      <c r="Z67" s="5" t="n">
        <v>15030</v>
      </c>
      <c r="AA67" s="5" t="n">
        <v>94.5</v>
      </c>
      <c r="AB67" s="5" t="n">
        <v>45.056629</v>
      </c>
      <c r="AC67" s="5" t="n">
        <v>9.914016</v>
      </c>
      <c r="AD67" s="7" t="inlineStr">
        <is>
          <t>Apri Ortofoto</t>
        </is>
      </c>
      <c r="AE67" s="5" t="inlineStr">
        <is>
          <t>Stazione elettrica Monticelli FS a ~0,6 km</t>
        </is>
      </c>
      <c r="AF67" s="8" t="n"/>
      <c r="AG67" s="8" t="n"/>
      <c r="AH67" s="5">
        <f>IF(AG67="","",IF(AG67&lt;=$D$3,"SÌ","NO"))</f>
        <v/>
      </c>
    </row>
    <row r="68">
      <c r="A68" s="5" t="n">
        <v>63</v>
      </c>
      <c r="B68" s="5" t="inlineStr">
        <is>
          <t>Top 50 Aperta Campagna</t>
        </is>
      </c>
      <c r="C68" s="5" t="inlineStr">
        <is>
          <t>✅ Priorità 2 · Aperta Campagna Qualificata</t>
        </is>
      </c>
      <c r="D68" s="5" t="inlineStr">
        <is>
          <t>Fiorenzuola d'Arda</t>
        </is>
      </c>
      <c r="E68" s="5" t="inlineStr">
        <is>
          <t>D611</t>
        </is>
      </c>
      <c r="F68" s="5" t="n">
        <v>9</v>
      </c>
      <c r="G68" s="5" t="n">
        <v>34</v>
      </c>
      <c r="H68" s="5" t="n">
        <v>4.93</v>
      </c>
      <c r="I68" s="5" t="n">
        <v>4.93</v>
      </c>
      <c r="J68" s="5" t="inlineStr">
        <is>
          <t>A1</t>
        </is>
      </c>
      <c r="K68" s="5" t="n">
        <v>16</v>
      </c>
      <c r="L68" s="5" t="n">
        <v>200</v>
      </c>
      <c r="M68" s="5" t="n">
        <v>132</v>
      </c>
      <c r="N68" s="5" t="inlineStr">
        <is>
          <t>Fiorenzuola AV</t>
        </is>
      </c>
      <c r="O68" s="5" t="n">
        <v>132</v>
      </c>
      <c r="P68" s="5" t="n">
        <v>2.5</v>
      </c>
      <c r="Q68" s="5" t="inlineStr">
        <is>
          <t>CP Fiorenzuola d'Arda (AC001E01230)</t>
        </is>
      </c>
      <c r="R68" s="5" t="n">
        <v>3250</v>
      </c>
      <c r="S68" s="5" t="n">
        <v>256250</v>
      </c>
      <c r="T68" s="5" t="n">
        <v>4.11</v>
      </c>
      <c r="U68" s="5" t="n">
        <v>4.11</v>
      </c>
      <c r="V68" s="5" t="n">
        <v>6546</v>
      </c>
      <c r="W68" s="5" t="n">
        <v>5.45</v>
      </c>
      <c r="X68" s="5" t="n">
        <v>7.55</v>
      </c>
      <c r="Y68" s="6">
        <f>H68*10000*$D$3</f>
        <v/>
      </c>
      <c r="Z68" s="5" t="n">
        <v>14790</v>
      </c>
      <c r="AA68" s="5" t="n">
        <v>83</v>
      </c>
      <c r="AB68" s="5" t="n">
        <v>44.956972</v>
      </c>
      <c r="AC68" s="5" t="n">
        <v>9.916694</v>
      </c>
      <c r="AD68" s="7" t="inlineStr">
        <is>
          <t>Apri Ortofoto</t>
        </is>
      </c>
      <c r="AE68" s="5" t="inlineStr">
        <is>
          <t>Linea AT 132 kV a ~200 m</t>
        </is>
      </c>
      <c r="AF68" s="8" t="n"/>
      <c r="AG68" s="8" t="n"/>
      <c r="AH68" s="5">
        <f>IF(AG68="","",IF(AG68&lt;=$D$3,"SÌ","NO"))</f>
        <v/>
      </c>
    </row>
    <row r="69">
      <c r="A69" s="5" t="n">
        <v>64</v>
      </c>
      <c r="B69" s="5" t="inlineStr">
        <is>
          <t>Top 50 Aperta Campagna</t>
        </is>
      </c>
      <c r="C69" s="5" t="inlineStr">
        <is>
          <t>✅ Priorità 2 · Aperta Campagna Qualificata</t>
        </is>
      </c>
      <c r="D69" s="5" t="inlineStr">
        <is>
          <t>Fiorenzuola d'Arda</t>
        </is>
      </c>
      <c r="E69" s="5" t="inlineStr">
        <is>
          <t>D611</t>
        </is>
      </c>
      <c r="F69" s="5" t="n">
        <v>9</v>
      </c>
      <c r="G69" s="5" t="n">
        <v>279</v>
      </c>
      <c r="H69" s="5" t="n">
        <v>5.04</v>
      </c>
      <c r="I69" s="5" t="n">
        <v>4.88</v>
      </c>
      <c r="J69" s="5" t="inlineStr">
        <is>
          <t>A1</t>
        </is>
      </c>
      <c r="K69" s="5" t="n">
        <v>12</v>
      </c>
      <c r="L69" s="5" t="n">
        <v>314</v>
      </c>
      <c r="M69" s="5" t="n">
        <v>132</v>
      </c>
      <c r="N69" s="5" t="inlineStr">
        <is>
          <t>Fiorenzuola AV</t>
        </is>
      </c>
      <c r="O69" s="5" t="n">
        <v>132</v>
      </c>
      <c r="P69" s="5" t="n">
        <v>2.2</v>
      </c>
      <c r="Q69" s="5" t="inlineStr">
        <is>
          <t>CP Fiorenzuola d'Arda (AC001E01230)</t>
        </is>
      </c>
      <c r="R69" s="5" t="n">
        <v>2860</v>
      </c>
      <c r="S69" s="5" t="n">
        <v>230900</v>
      </c>
      <c r="T69" s="5" t="n">
        <v>4.2</v>
      </c>
      <c r="U69" s="5" t="n">
        <v>4.07</v>
      </c>
      <c r="V69" s="5" t="n">
        <v>6689</v>
      </c>
      <c r="W69" s="5" t="n">
        <v>5.45</v>
      </c>
      <c r="X69" s="5" t="n">
        <v>7.55</v>
      </c>
      <c r="Y69" s="6">
        <f>H69*10000*$D$3</f>
        <v/>
      </c>
      <c r="Z69" s="5" t="n">
        <v>15120</v>
      </c>
      <c r="AA69" s="5" t="n">
        <v>84</v>
      </c>
      <c r="AB69" s="5" t="n">
        <v>44.957977</v>
      </c>
      <c r="AC69" s="5" t="n">
        <v>9.912528</v>
      </c>
      <c r="AD69" s="7" t="inlineStr">
        <is>
          <t>Apri Ortofoto</t>
        </is>
      </c>
      <c r="AE69" s="5" t="inlineStr">
        <is>
          <t>Area produttiva a ~340 m: verificare la destinazione urbanistica</t>
        </is>
      </c>
      <c r="AF69" s="8" t="n"/>
      <c r="AG69" s="8" t="n"/>
      <c r="AH69" s="5">
        <f>IF(AG69="","",IF(AG69&lt;=$D$3,"SÌ","NO"))</f>
        <v/>
      </c>
    </row>
    <row r="70">
      <c r="A70" s="5" t="n">
        <v>65</v>
      </c>
      <c r="B70" s="5" t="inlineStr">
        <is>
          <t>Top 50 Aperta Campagna</t>
        </is>
      </c>
      <c r="C70" s="5" t="inlineStr">
        <is>
          <t>🔥 Priorità 1 · Top Taglia / Rete AT Vicina</t>
        </is>
      </c>
      <c r="D70" s="5" t="inlineStr">
        <is>
          <t>Piacenza</t>
        </is>
      </c>
      <c r="E70" s="5" t="inlineStr">
        <is>
          <t>G535</t>
        </is>
      </c>
      <c r="F70" s="5" t="n">
        <v>14</v>
      </c>
      <c r="G70" s="5" t="n">
        <v>693</v>
      </c>
      <c r="H70" s="5" t="n">
        <v>5.14</v>
      </c>
      <c r="I70" s="5" t="n">
        <v>4.86</v>
      </c>
      <c r="J70" s="5" t="inlineStr">
        <is>
          <t>A1</t>
        </is>
      </c>
      <c r="K70" s="5" t="n">
        <v>50</v>
      </c>
      <c r="L70" s="5" t="n">
        <v>83</v>
      </c>
      <c r="M70" s="5" t="n">
        <v>380</v>
      </c>
      <c r="N70" s="5" t="inlineStr">
        <is>
          <t>Tecnoborgo sezionamento</t>
        </is>
      </c>
      <c r="O70" s="5" t="n">
        <v>132</v>
      </c>
      <c r="P70" s="5" t="n">
        <v>0.7</v>
      </c>
      <c r="Q70" s="5" t="inlineStr">
        <is>
          <t>CP Piacenza (AC001E01168)</t>
        </is>
      </c>
      <c r="R70" s="5" t="n">
        <v>910</v>
      </c>
      <c r="S70" s="5" t="n">
        <v>104150</v>
      </c>
      <c r="T70" s="5" t="n">
        <v>4.28</v>
      </c>
      <c r="U70" s="5" t="n">
        <v>4.05</v>
      </c>
      <c r="V70" s="5" t="n">
        <v>6817</v>
      </c>
      <c r="W70" s="5" t="n">
        <v>5.65</v>
      </c>
      <c r="X70" s="5" t="n">
        <v>7.83</v>
      </c>
      <c r="Y70" s="6">
        <f>H70*10000*$D$3</f>
        <v/>
      </c>
      <c r="Z70" s="5" t="n">
        <v>15420</v>
      </c>
      <c r="AA70" s="5" t="n">
        <v>94.5</v>
      </c>
      <c r="AB70" s="5" t="n">
        <v>45.056553</v>
      </c>
      <c r="AC70" s="5" t="n">
        <v>9.740095</v>
      </c>
      <c r="AD70" s="7" t="inlineStr">
        <is>
          <t>Apri Ortofoto</t>
        </is>
      </c>
      <c r="AE70" s="5" t="inlineStr">
        <is>
          <t>Linea AT 380 kV a ~83 m; Stazione elettrica Tecnoborgo sezionamento a ~0,7 km; Area produttiva a ~368 m: verificare la destinazione urbanistica</t>
        </is>
      </c>
      <c r="AF70" s="8" t="n"/>
      <c r="AG70" s="8" t="n"/>
      <c r="AH70" s="5">
        <f>IF(AG70="","",IF(AG70&lt;=$D$3,"SÌ","NO"))</f>
        <v/>
      </c>
    </row>
    <row r="71">
      <c r="A71" s="5" t="n">
        <v>66</v>
      </c>
      <c r="B71" s="5" t="inlineStr">
        <is>
          <t>Estensione WMS AdE (Griglia Sfalsata)</t>
        </is>
      </c>
      <c r="C71" s="5" t="inlineStr">
        <is>
          <t>🔥 Priorità 1 · Top Taglia / Rete AT Vicina</t>
        </is>
      </c>
      <c r="D71" s="5" t="inlineStr">
        <is>
          <t>San Pietro in Cerro</t>
        </is>
      </c>
      <c r="E71" s="5" t="inlineStr">
        <is>
          <t>G788</t>
        </is>
      </c>
      <c r="F71" s="5" t="n">
        <v>2</v>
      </c>
      <c r="G71" s="5" t="n">
        <v>14</v>
      </c>
      <c r="H71" s="5" t="n">
        <v>15.42</v>
      </c>
      <c r="I71" s="5" t="n">
        <v>4.84</v>
      </c>
      <c r="J71" s="5" t="inlineStr">
        <is>
          <t>A21</t>
        </is>
      </c>
      <c r="K71" s="5" t="n">
        <v>47</v>
      </c>
      <c r="L71" s="5" t="n">
        <v>80</v>
      </c>
      <c r="M71" s="5" t="n">
        <v>132</v>
      </c>
      <c r="N71" s="5" t="inlineStr">
        <is>
          <t>Monticelli Ferrovia</t>
        </is>
      </c>
      <c r="O71" s="5" t="n">
        <v>132</v>
      </c>
      <c r="P71" s="5" t="n">
        <v>0.9</v>
      </c>
      <c r="Q71" s="5" t="inlineStr">
        <is>
          <t>CP Monticelli d'Ongina (AC001E01173)</t>
        </is>
      </c>
      <c r="R71" s="5" t="n">
        <v>1170</v>
      </c>
      <c r="S71" s="5" t="n">
        <v>121050</v>
      </c>
      <c r="T71" s="5" t="n">
        <v>12.85</v>
      </c>
      <c r="U71" s="5" t="n">
        <v>4.03</v>
      </c>
      <c r="V71" s="5" t="n">
        <v>20466</v>
      </c>
      <c r="W71" s="5" t="n">
        <v>5.5</v>
      </c>
      <c r="X71" s="5" t="n">
        <v>7.63</v>
      </c>
      <c r="Y71" s="6">
        <f>H71*10000*$D$3</f>
        <v/>
      </c>
      <c r="Z71" s="5" t="n">
        <v>46260</v>
      </c>
      <c r="AA71" s="5" t="n">
        <v>95</v>
      </c>
      <c r="AB71" s="5" t="n">
        <v>45.055278</v>
      </c>
      <c r="AC71" s="5" t="n">
        <v>9.926408</v>
      </c>
      <c r="AD71" s="7" t="inlineStr">
        <is>
          <t>Apri Ortofoto</t>
        </is>
      </c>
      <c r="AE71" s="5" t="inlineStr">
        <is>
          <t>Linea AT 132 kV a ~80 m; Stazione elettrica Monticelli Ferrovia a ~0,9 km; 10,6 ha oltre i 300 m</t>
        </is>
      </c>
      <c r="AF71" s="8" t="n"/>
      <c r="AG71" s="8" t="n"/>
      <c r="AH71" s="5">
        <f>IF(AG71="","",IF(AG71&lt;=$D$3,"SÌ","NO"))</f>
        <v/>
      </c>
    </row>
    <row r="72">
      <c r="A72" s="5" t="n">
        <v>67</v>
      </c>
      <c r="B72" s="5" t="inlineStr">
        <is>
          <t>Top 50 Aperta Campagna</t>
        </is>
      </c>
      <c r="C72" s="5" t="inlineStr">
        <is>
          <t>🔥 Priorità 1 · Top Taglia / Rete AT Vicina</t>
        </is>
      </c>
      <c r="D72" s="5" t="inlineStr">
        <is>
          <t>Cadeo</t>
        </is>
      </c>
      <c r="E72" s="5" t="inlineStr">
        <is>
          <t>B332</t>
        </is>
      </c>
      <c r="F72" s="5" t="n">
        <v>21</v>
      </c>
      <c r="G72" s="5" t="n">
        <v>72</v>
      </c>
      <c r="H72" s="5" t="n">
        <v>4.77</v>
      </c>
      <c r="I72" s="5" t="n">
        <v>4.77</v>
      </c>
      <c r="J72" s="5" t="inlineStr">
        <is>
          <t>A1</t>
        </is>
      </c>
      <c r="K72" s="5" t="n">
        <v>18</v>
      </c>
      <c r="L72" s="5" t="n">
        <v>347</v>
      </c>
      <c r="M72" s="5" t="n">
        <v>132</v>
      </c>
      <c r="N72" s="5" t="inlineStr">
        <is>
          <t>Fiorenzuola AV</t>
        </is>
      </c>
      <c r="O72" s="5" t="n">
        <v>132</v>
      </c>
      <c r="P72" s="5" t="n">
        <v>0.6</v>
      </c>
      <c r="Q72" s="5" t="inlineStr">
        <is>
          <t>CP Fiorenzuola d'Arda (AC001E01230)</t>
        </is>
      </c>
      <c r="R72" s="5" t="n">
        <v>780</v>
      </c>
      <c r="S72" s="5" t="n">
        <v>95700</v>
      </c>
      <c r="T72" s="5" t="n">
        <v>3.97</v>
      </c>
      <c r="U72" s="5" t="n">
        <v>3.97</v>
      </c>
      <c r="V72" s="5" t="n">
        <v>6323</v>
      </c>
      <c r="W72" s="5" t="n">
        <v>5.45</v>
      </c>
      <c r="X72" s="5" t="n">
        <v>7.55</v>
      </c>
      <c r="Y72" s="6">
        <f>H72*10000*$D$3</f>
        <v/>
      </c>
      <c r="Z72" s="5" t="n">
        <v>14310</v>
      </c>
      <c r="AA72" s="5" t="n">
        <v>93.5</v>
      </c>
      <c r="AB72" s="5" t="n">
        <v>44.971448</v>
      </c>
      <c r="AC72" s="5" t="n">
        <v>9.882303</v>
      </c>
      <c r="AD72" s="7" t="inlineStr">
        <is>
          <t>Apri Ortofoto</t>
        </is>
      </c>
      <c r="AE72" s="5" t="inlineStr">
        <is>
          <t>Stazione elettrica Fiorenzuola AV a ~0,6 km</t>
        </is>
      </c>
      <c r="AF72" s="8" t="n"/>
      <c r="AG72" s="8" t="n"/>
      <c r="AH72" s="5">
        <f>IF(AG72="","",IF(AG72&lt;=$D$3,"SÌ","NO"))</f>
        <v/>
      </c>
    </row>
    <row r="73">
      <c r="A73" s="5" t="n">
        <v>68</v>
      </c>
      <c r="B73" s="5" t="inlineStr">
        <is>
          <t>Top 50 Aperta Campagna</t>
        </is>
      </c>
      <c r="C73" s="5" t="inlineStr">
        <is>
          <t>🔥 Priorità 1 · Top Taglia / Rete AT Vicina</t>
        </is>
      </c>
      <c r="D73" s="5" t="inlineStr">
        <is>
          <t>Sarmato</t>
        </is>
      </c>
      <c r="E73" s="5" t="inlineStr">
        <is>
          <t>I434</t>
        </is>
      </c>
      <c r="F73" s="5" t="n">
        <v>10</v>
      </c>
      <c r="G73" s="5" t="n">
        <v>1041</v>
      </c>
      <c r="H73" s="5" t="n">
        <v>4.72</v>
      </c>
      <c r="I73" s="5" t="n">
        <v>4.72</v>
      </c>
      <c r="J73" s="5" t="inlineStr">
        <is>
          <t>A21</t>
        </is>
      </c>
      <c r="K73" s="5" t="n">
        <v>13</v>
      </c>
      <c r="L73" s="5" t="n">
        <v>744</v>
      </c>
      <c r="M73" s="5" t="n">
        <v>132</v>
      </c>
      <c r="N73" s="5" t="inlineStr">
        <is>
          <t>Sarmato FS</t>
        </is>
      </c>
      <c r="O73" s="5" t="n">
        <v>132</v>
      </c>
      <c r="P73" s="5" t="n">
        <v>0.9</v>
      </c>
      <c r="Q73" s="5" t="inlineStr">
        <is>
          <t>CP Rottofreno (AC001E01165)</t>
        </is>
      </c>
      <c r="R73" s="5" t="n">
        <v>1170</v>
      </c>
      <c r="S73" s="5" t="n">
        <v>121050</v>
      </c>
      <c r="T73" s="5" t="n">
        <v>3.93</v>
      </c>
      <c r="U73" s="5" t="n">
        <v>3.93</v>
      </c>
      <c r="V73" s="5" t="n">
        <v>6259</v>
      </c>
      <c r="W73" s="5" t="n">
        <v>5.6</v>
      </c>
      <c r="X73" s="5" t="n">
        <v>7.76</v>
      </c>
      <c r="Y73" s="6">
        <f>H73*10000*$D$3</f>
        <v/>
      </c>
      <c r="Z73" s="5" t="n">
        <v>14160</v>
      </c>
      <c r="AA73" s="5" t="n">
        <v>93.5</v>
      </c>
      <c r="AB73" s="5" t="n">
        <v>45.069647</v>
      </c>
      <c r="AC73" s="5" t="n">
        <v>9.491875</v>
      </c>
      <c r="AD73" s="7" t="inlineStr">
        <is>
          <t>Apri Ortofoto</t>
        </is>
      </c>
      <c r="AE73" s="5" t="inlineStr">
        <is>
          <t>Stazione elettrica Sarmato FS a ~0,9 km</t>
        </is>
      </c>
      <c r="AF73" s="8" t="n"/>
      <c r="AG73" s="8" t="n"/>
      <c r="AH73" s="5">
        <f>IF(AG73="","",IF(AG73&lt;=$D$3,"SÌ","NO"))</f>
        <v/>
      </c>
    </row>
    <row r="74">
      <c r="A74" s="5" t="n">
        <v>69</v>
      </c>
      <c r="B74" s="5" t="inlineStr">
        <is>
          <t>Estensione WMS AdE (Griglia Sfalsata)</t>
        </is>
      </c>
      <c r="C74" s="5" t="inlineStr">
        <is>
          <t>🔥 Priorità 1 · Top Taglia / Rete AT Vicina</t>
        </is>
      </c>
      <c r="D74" s="5" t="inlineStr">
        <is>
          <t>Fiorenzuola d'Arda</t>
        </is>
      </c>
      <c r="E74" s="5" t="inlineStr">
        <is>
          <t>D611</t>
        </is>
      </c>
      <c r="F74" s="5" t="n">
        <v>9</v>
      </c>
      <c r="G74" s="5" t="n">
        <v>136</v>
      </c>
      <c r="H74" s="5" t="n">
        <v>4.72</v>
      </c>
      <c r="I74" s="5" t="n">
        <v>4.72</v>
      </c>
      <c r="J74" s="5" t="inlineStr">
        <is>
          <t>A1</t>
        </is>
      </c>
      <c r="K74" s="5" t="n">
        <v>14</v>
      </c>
      <c r="L74" s="5" t="n">
        <v>169</v>
      </c>
      <c r="M74" s="5" t="n">
        <v>132</v>
      </c>
      <c r="N74" s="5" t="inlineStr">
        <is>
          <t>Fiorenzuola AV</t>
        </is>
      </c>
      <c r="O74" s="5" t="n">
        <v>132</v>
      </c>
      <c r="P74" s="5" t="n">
        <v>1.5</v>
      </c>
      <c r="Q74" s="5" t="inlineStr">
        <is>
          <t>CP Fiorenzuola d'Arda (AC001E01230)</t>
        </is>
      </c>
      <c r="R74" s="5" t="n">
        <v>1950</v>
      </c>
      <c r="S74" s="5" t="n">
        <v>171750</v>
      </c>
      <c r="T74" s="5" t="n">
        <v>3.93</v>
      </c>
      <c r="U74" s="5" t="n">
        <v>3.93</v>
      </c>
      <c r="V74" s="5" t="n">
        <v>6259</v>
      </c>
      <c r="W74" s="5" t="n">
        <v>5.45</v>
      </c>
      <c r="X74" s="5" t="n">
        <v>7.55</v>
      </c>
      <c r="Y74" s="6">
        <f>H74*10000*$D$3</f>
        <v/>
      </c>
      <c r="Z74" s="5" t="n">
        <v>14160</v>
      </c>
      <c r="AA74" s="5" t="n">
        <v>87</v>
      </c>
      <c r="AB74" s="5" t="n">
        <v>44.962776</v>
      </c>
      <c r="AC74" s="5" t="n">
        <v>9.906549999999999</v>
      </c>
      <c r="AD74" s="7" t="inlineStr">
        <is>
          <t>Apri Ortofoto</t>
        </is>
      </c>
      <c r="AE74" s="5" t="inlineStr">
        <is>
          <t>Linea AT 132 kV a ~169 m; Stazione elettrica Fiorenzuola AV a ~1,5 km</t>
        </is>
      </c>
      <c r="AF74" s="8" t="n"/>
      <c r="AG74" s="8" t="n"/>
      <c r="AH74" s="5">
        <f>IF(AG74="","",IF(AG74&lt;=$D$3,"SÌ","NO"))</f>
        <v/>
      </c>
    </row>
    <row r="75">
      <c r="A75" s="5" t="n">
        <v>70</v>
      </c>
      <c r="B75" s="5" t="inlineStr">
        <is>
          <t>Top 50 Aperta Campagna</t>
        </is>
      </c>
      <c r="C75" s="5" t="inlineStr">
        <is>
          <t>✅ Priorità 2 · Aperta Campagna Qualificata</t>
        </is>
      </c>
      <c r="D75" s="5" t="inlineStr">
        <is>
          <t>Castelvetro Piacentino</t>
        </is>
      </c>
      <c r="E75" s="5" t="inlineStr">
        <is>
          <t>C288</t>
        </is>
      </c>
      <c r="F75" s="5" t="n">
        <v>16</v>
      </c>
      <c r="G75" s="5" t="n">
        <v>80</v>
      </c>
      <c r="H75" s="5" t="n">
        <v>4.69</v>
      </c>
      <c r="I75" s="5" t="n">
        <v>4.69</v>
      </c>
      <c r="J75" s="5" t="inlineStr">
        <is>
          <t>A21</t>
        </is>
      </c>
      <c r="K75" s="5" t="n">
        <v>17</v>
      </c>
      <c r="L75" s="5" t="n">
        <v>2034</v>
      </c>
      <c r="M75" s="5" t="n">
        <v>380</v>
      </c>
      <c r="N75" s="5" t="inlineStr">
        <is>
          <t>Cortemaggiore</t>
        </is>
      </c>
      <c r="O75" s="5" t="n">
        <v>132</v>
      </c>
      <c r="P75" s="5" t="n">
        <v>8.300000000000001</v>
      </c>
      <c r="Q75" s="5" t="inlineStr">
        <is>
          <t>CP Monticelli d'Ongina (AC001E01173)</t>
        </is>
      </c>
      <c r="R75" s="5" t="n">
        <v>6468</v>
      </c>
      <c r="S75" s="5" t="n">
        <v>465420</v>
      </c>
      <c r="T75" s="5" t="n">
        <v>3.91</v>
      </c>
      <c r="U75" s="5" t="n">
        <v>3.91</v>
      </c>
      <c r="V75" s="5" t="n">
        <v>6227</v>
      </c>
      <c r="W75" s="5" t="n">
        <v>5.5</v>
      </c>
      <c r="X75" s="5" t="n">
        <v>7.63</v>
      </c>
      <c r="Y75" s="6">
        <f>H75*10000*$D$3</f>
        <v/>
      </c>
      <c r="Z75" s="5" t="n">
        <v>14070</v>
      </c>
      <c r="AA75" s="5" t="n">
        <v>74</v>
      </c>
      <c r="AB75" s="5" t="n">
        <v>45.077232</v>
      </c>
      <c r="AC75" s="5" t="n">
        <v>9.970022</v>
      </c>
      <c r="AD75" s="7" t="inlineStr">
        <is>
          <t>Apri Ortofoto</t>
        </is>
      </c>
      <c r="AE75" s="5" t="inlineStr">
        <is>
          <t>Seminativo aperto in fascia autostradale ≤300m D.Lgs. 199/2021</t>
        </is>
      </c>
      <c r="AF75" s="8" t="n"/>
      <c r="AG75" s="8" t="n"/>
      <c r="AH75" s="5">
        <f>IF(AG75="","",IF(AG75&lt;=$D$3,"SÌ","NO"))</f>
        <v/>
      </c>
    </row>
    <row r="76">
      <c r="A76" s="5" t="n">
        <v>71</v>
      </c>
      <c r="B76" s="5" t="inlineStr">
        <is>
          <t>Aperta Campagna (Oltre Top 50)</t>
        </is>
      </c>
      <c r="C76" s="5" t="inlineStr">
        <is>
          <t>🔥 Priorità 1 · Top Taglia / Rete AT Vicina</t>
        </is>
      </c>
      <c r="D76" s="5" t="inlineStr">
        <is>
          <t>Cadeo</t>
        </is>
      </c>
      <c r="E76" s="5" t="inlineStr">
        <is>
          <t>B332</t>
        </is>
      </c>
      <c r="F76" s="5" t="n">
        <v>7</v>
      </c>
      <c r="G76" s="5" t="n">
        <v>79</v>
      </c>
      <c r="H76" s="5" t="n">
        <v>4.62</v>
      </c>
      <c r="I76" s="5" t="n">
        <v>4.62</v>
      </c>
      <c r="J76" s="5" t="inlineStr">
        <is>
          <t>A1</t>
        </is>
      </c>
      <c r="K76" s="5" t="n">
        <v>74</v>
      </c>
      <c r="L76" s="5" t="n">
        <v>68</v>
      </c>
      <c r="M76" s="5" t="n">
        <v>132</v>
      </c>
      <c r="N76" s="5" t="inlineStr">
        <is>
          <t>Cadeo FS</t>
        </is>
      </c>
      <c r="O76" s="5" t="n">
        <v>132</v>
      </c>
      <c r="P76" s="5" t="n">
        <v>2.8</v>
      </c>
      <c r="Q76" s="5" t="inlineStr">
        <is>
          <t>CP Pontenure 132/15 kV</t>
        </is>
      </c>
      <c r="R76" s="5" t="n">
        <v>3640</v>
      </c>
      <c r="S76" s="5" t="n">
        <v>281600</v>
      </c>
      <c r="T76" s="5" t="n">
        <v>3.85</v>
      </c>
      <c r="U76" s="5" t="n">
        <v>3.85</v>
      </c>
      <c r="V76" s="5" t="n">
        <v>6132</v>
      </c>
      <c r="W76" s="5" t="n">
        <v>5.45</v>
      </c>
      <c r="X76" s="5" t="n">
        <v>7.55</v>
      </c>
      <c r="Y76" s="6">
        <f>H76*10000*$D$3</f>
        <v/>
      </c>
      <c r="Z76" s="5" t="n">
        <v>13860</v>
      </c>
      <c r="AA76" s="5" t="n">
        <v>80.5</v>
      </c>
      <c r="AB76" s="5" t="n">
        <v>44.993467</v>
      </c>
      <c r="AC76" s="5" t="n">
        <v>9.835876000000001</v>
      </c>
      <c r="AD76" s="7" t="inlineStr">
        <is>
          <t>Apri Ortofoto</t>
        </is>
      </c>
      <c r="AE76" s="5" t="inlineStr">
        <is>
          <t>Linea AT 132 kV a ~68 m</t>
        </is>
      </c>
      <c r="AF76" s="8" t="n"/>
      <c r="AG76" s="8" t="n"/>
      <c r="AH76" s="5">
        <f>IF(AG76="","",IF(AG76&lt;=$D$3,"SÌ","NO"))</f>
        <v/>
      </c>
    </row>
    <row r="77">
      <c r="A77" s="5" t="n">
        <v>72</v>
      </c>
      <c r="B77" s="5" t="inlineStr">
        <is>
          <t>Aperta Campagna (Oltre Top 50)</t>
        </is>
      </c>
      <c r="C77" s="5" t="inlineStr">
        <is>
          <t>🔥 Priorità 1 · Top Taglia / Rete AT Vicina</t>
        </is>
      </c>
      <c r="D77" s="5" t="inlineStr">
        <is>
          <t>Castel San Giovanni</t>
        </is>
      </c>
      <c r="E77" s="5" t="inlineStr">
        <is>
          <t>C261</t>
        </is>
      </c>
      <c r="F77" s="5" t="n">
        <v>8</v>
      </c>
      <c r="G77" s="5" t="n">
        <v>6</v>
      </c>
      <c r="H77" s="5" t="n">
        <v>5.17</v>
      </c>
      <c r="I77" s="5" t="n">
        <v>4.58</v>
      </c>
      <c r="J77" s="5" t="inlineStr">
        <is>
          <t>A21</t>
        </is>
      </c>
      <c r="K77" s="5" t="n">
        <v>8</v>
      </c>
      <c r="L77" s="5" t="n">
        <v>5</v>
      </c>
      <c r="M77" s="5" t="n">
        <v>132</v>
      </c>
      <c r="N77" s="5" t="inlineStr">
        <is>
          <t>(senza nome)</t>
        </is>
      </c>
      <c r="O77" s="5" t="n">
        <v>132</v>
      </c>
      <c r="P77" s="5" t="n">
        <v>7.5</v>
      </c>
      <c r="Q77" s="5" t="inlineStr">
        <is>
          <t>CP Arena Po (AC001E01164)</t>
        </is>
      </c>
      <c r="R77" s="5" t="n">
        <v>4065</v>
      </c>
      <c r="S77" s="5" t="n">
        <v>309225</v>
      </c>
      <c r="T77" s="5" t="n">
        <v>4.31</v>
      </c>
      <c r="U77" s="5" t="n">
        <v>3.82</v>
      </c>
      <c r="V77" s="5" t="n">
        <v>6865</v>
      </c>
      <c r="W77" s="5" t="n">
        <v>5.6</v>
      </c>
      <c r="X77" s="5" t="n">
        <v>7.76</v>
      </c>
      <c r="Y77" s="6">
        <f>H77*10000*$D$3</f>
        <v/>
      </c>
      <c r="Z77" s="5" t="n">
        <v>15510</v>
      </c>
      <c r="AA77" s="5" t="n">
        <v>81.5</v>
      </c>
      <c r="AB77" s="5" t="n">
        <v>45.082224</v>
      </c>
      <c r="AC77" s="5" t="n">
        <v>9.418041000000001</v>
      </c>
      <c r="AD77" s="7" t="inlineStr">
        <is>
          <t>Apri Ortofoto</t>
        </is>
      </c>
      <c r="AE77" s="5" t="inlineStr">
        <is>
          <t>Linea AT 132 kV sul fondo o al confine: condiziona il layout, ma la rete è vicina; 0,6 ha oltre i 300 m</t>
        </is>
      </c>
      <c r="AF77" s="8" t="n"/>
      <c r="AG77" s="8" t="n"/>
      <c r="AH77" s="5">
        <f>IF(AG77="","",IF(AG77&lt;=$D$3,"SÌ","NO"))</f>
        <v/>
      </c>
    </row>
    <row r="78">
      <c r="A78" s="5" t="n">
        <v>73</v>
      </c>
      <c r="B78" s="5" t="inlineStr">
        <is>
          <t>Aperta Campagna (Oltre Top 50)</t>
        </is>
      </c>
      <c r="C78" s="5" t="inlineStr">
        <is>
          <t>🔥 Priorità 1 · Top Taglia / Rete AT Vicina</t>
        </is>
      </c>
      <c r="D78" s="5" t="inlineStr">
        <is>
          <t>Fiorenzuola d'Arda</t>
        </is>
      </c>
      <c r="E78" s="5" t="inlineStr">
        <is>
          <t>D611</t>
        </is>
      </c>
      <c r="F78" s="5" t="n">
        <v>9</v>
      </c>
      <c r="G78" s="5" t="n">
        <v>263</v>
      </c>
      <c r="H78" s="5" t="n">
        <v>4.53</v>
      </c>
      <c r="I78" s="5" t="n">
        <v>4.53</v>
      </c>
      <c r="J78" s="5" t="inlineStr">
        <is>
          <t>A1</t>
        </is>
      </c>
      <c r="K78" s="5" t="n">
        <v>21</v>
      </c>
      <c r="L78" s="5" t="n">
        <v>18</v>
      </c>
      <c r="M78" s="5" t="n">
        <v>132</v>
      </c>
      <c r="N78" s="5" t="inlineStr">
        <is>
          <t>Fiorenzuola AV</t>
        </is>
      </c>
      <c r="O78" s="5" t="n">
        <v>132</v>
      </c>
      <c r="P78" s="5" t="n">
        <v>2.4</v>
      </c>
      <c r="Q78" s="5" t="inlineStr">
        <is>
          <t>CP Fiorenzuola d'Arda (AC001E01230)</t>
        </is>
      </c>
      <c r="R78" s="5" t="n">
        <v>3120</v>
      </c>
      <c r="S78" s="5" t="n">
        <v>247800</v>
      </c>
      <c r="T78" s="5" t="n">
        <v>3.78</v>
      </c>
      <c r="U78" s="5" t="n">
        <v>3.78</v>
      </c>
      <c r="V78" s="5" t="n">
        <v>6020</v>
      </c>
      <c r="W78" s="5" t="n">
        <v>5.45</v>
      </c>
      <c r="X78" s="5" t="n">
        <v>7.55</v>
      </c>
      <c r="Y78" s="6">
        <f>H78*10000*$D$3</f>
        <v/>
      </c>
      <c r="Z78" s="5" t="n">
        <v>13590</v>
      </c>
      <c r="AA78" s="5" t="n">
        <v>85.5</v>
      </c>
      <c r="AB78" s="5" t="n">
        <v>44.958663</v>
      </c>
      <c r="AC78" s="5" t="n">
        <v>9.917406</v>
      </c>
      <c r="AD78" s="7" t="inlineStr">
        <is>
          <t>Apri Ortofoto</t>
        </is>
      </c>
      <c r="AE78" s="5" t="inlineStr">
        <is>
          <t>Linea AT 132 kV sul fondo o al confine: condiziona il layout, ma la rete è vicina</t>
        </is>
      </c>
      <c r="AF78" s="8" t="n"/>
      <c r="AG78" s="8" t="n"/>
      <c r="AH78" s="5">
        <f>IF(AG78="","",IF(AG78&lt;=$D$3,"SÌ","NO"))</f>
        <v/>
      </c>
    </row>
    <row r="79">
      <c r="A79" s="5" t="n">
        <v>74</v>
      </c>
      <c r="B79" s="5" t="inlineStr">
        <is>
          <t>Aperta Campagna (Oltre Top 50)</t>
        </is>
      </c>
      <c r="C79" s="5" t="inlineStr">
        <is>
          <t>🔥 Priorità 1 · Top Taglia / Rete AT Vicina</t>
        </is>
      </c>
      <c r="D79" s="5" t="inlineStr">
        <is>
          <t>Monticelli d'Ongina</t>
        </is>
      </c>
      <c r="E79" s="5" t="inlineStr">
        <is>
          <t>F671</t>
        </is>
      </c>
      <c r="F79" s="5" t="n">
        <v>32</v>
      </c>
      <c r="G79" s="5" t="n">
        <v>10</v>
      </c>
      <c r="H79" s="5" t="n">
        <v>5.06</v>
      </c>
      <c r="I79" s="5" t="n">
        <v>4.5</v>
      </c>
      <c r="J79" s="5" t="inlineStr">
        <is>
          <t>A21</t>
        </is>
      </c>
      <c r="K79" s="5" t="n">
        <v>44</v>
      </c>
      <c r="L79" s="5" t="n">
        <v>17</v>
      </c>
      <c r="M79" s="5" t="n">
        <v>380</v>
      </c>
      <c r="N79" s="5" t="inlineStr">
        <is>
          <t>Monticelli Ferrovia</t>
        </is>
      </c>
      <c r="O79" s="5" t="n">
        <v>132</v>
      </c>
      <c r="P79" s="5" t="n">
        <v>1.4</v>
      </c>
      <c r="Q79" s="5" t="inlineStr">
        <is>
          <t>CP Monticelli d'Ongina (AC001E01173)</t>
        </is>
      </c>
      <c r="R79" s="5" t="n">
        <v>1820</v>
      </c>
      <c r="S79" s="5" t="n">
        <v>163300</v>
      </c>
      <c r="T79" s="5" t="n">
        <v>4.22</v>
      </c>
      <c r="U79" s="5" t="n">
        <v>3.75</v>
      </c>
      <c r="V79" s="5" t="n">
        <v>6721</v>
      </c>
      <c r="W79" s="5" t="n">
        <v>5.5</v>
      </c>
      <c r="X79" s="5" t="n">
        <v>7.63</v>
      </c>
      <c r="Y79" s="6">
        <f>H79*10000*$D$3</f>
        <v/>
      </c>
      <c r="Z79" s="5" t="n">
        <v>15180</v>
      </c>
      <c r="AA79" s="5" t="n">
        <v>90.5</v>
      </c>
      <c r="AB79" s="5" t="n">
        <v>45.057976</v>
      </c>
      <c r="AC79" s="5" t="n">
        <v>9.93657</v>
      </c>
      <c r="AD79" s="7" t="inlineStr">
        <is>
          <t>Apri Ortofoto</t>
        </is>
      </c>
      <c r="AE79" s="5" t="inlineStr">
        <is>
          <t>Linea AT 380 kV sul fondo o al confine: condiziona il layout, ma la rete è vicina; Stazione elettrica Monticelli Ferrovia a ~1,4 km; 0,6 ha oltre i 300 m</t>
        </is>
      </c>
      <c r="AF79" s="8" t="n"/>
      <c r="AG79" s="8" t="n"/>
      <c r="AH79" s="5">
        <f>IF(AG79="","",IF(AG79&lt;=$D$3,"SÌ","NO"))</f>
        <v/>
      </c>
    </row>
    <row r="80">
      <c r="A80" s="5" t="n">
        <v>75</v>
      </c>
      <c r="B80" s="5" t="inlineStr">
        <is>
          <t>Aperta Campagna (Oltre Top 50)</t>
        </is>
      </c>
      <c r="C80" s="5" t="inlineStr">
        <is>
          <t>✅ Priorità 2 · Aperta Campagna Qualificata</t>
        </is>
      </c>
      <c r="D80" s="5" t="inlineStr">
        <is>
          <t>Rottofreno</t>
        </is>
      </c>
      <c r="E80" s="5" t="inlineStr">
        <is>
          <t>H593</t>
        </is>
      </c>
      <c r="F80" s="5" t="n">
        <v>22</v>
      </c>
      <c r="G80" s="5" t="n">
        <v>907</v>
      </c>
      <c r="H80" s="5" t="n">
        <v>5.3</v>
      </c>
      <c r="I80" s="5" t="n">
        <v>4.48</v>
      </c>
      <c r="J80" s="5" t="inlineStr">
        <is>
          <t>A21</t>
        </is>
      </c>
      <c r="K80" s="5" t="n">
        <v>115</v>
      </c>
      <c r="L80" s="5" t="n">
        <v>1519</v>
      </c>
      <c r="M80" s="5" t="n">
        <v>132</v>
      </c>
      <c r="N80" s="5" t="inlineStr">
        <is>
          <t>Rottofreno</t>
        </is>
      </c>
      <c r="O80" s="5" t="n">
        <v>132</v>
      </c>
      <c r="P80" s="5" t="n">
        <v>1.6</v>
      </c>
      <c r="Q80" s="5" t="inlineStr">
        <is>
          <t>CP Rottofreno (AC001E01165)</t>
        </is>
      </c>
      <c r="R80" s="5" t="n">
        <v>853</v>
      </c>
      <c r="S80" s="5" t="n">
        <v>100445</v>
      </c>
      <c r="T80" s="5" t="n">
        <v>4.42</v>
      </c>
      <c r="U80" s="5" t="n">
        <v>3.73</v>
      </c>
      <c r="V80" s="5" t="n">
        <v>7040</v>
      </c>
      <c r="W80" s="5" t="n">
        <v>5.65</v>
      </c>
      <c r="X80" s="5" t="n">
        <v>7.83</v>
      </c>
      <c r="Y80" s="6">
        <f>H80*10000*$D$3</f>
        <v/>
      </c>
      <c r="Z80" s="5" t="n">
        <v>15900</v>
      </c>
      <c r="AA80" s="5" t="n">
        <v>94.5</v>
      </c>
      <c r="AB80" s="5" t="n">
        <v>45.062917</v>
      </c>
      <c r="AC80" s="5" t="n">
        <v>9.560313000000001</v>
      </c>
      <c r="AD80" s="7" t="inlineStr">
        <is>
          <t>Apri Ortofoto</t>
        </is>
      </c>
      <c r="AE80" s="5" t="inlineStr">
        <is>
          <t>Area produttiva a ~319 m: verificare la destinazione urbanistica; 0,8 ha oltre i 300 m</t>
        </is>
      </c>
      <c r="AF80" s="8" t="n"/>
      <c r="AG80" s="8" t="n"/>
      <c r="AH80" s="5">
        <f>IF(AG80="","",IF(AG80&lt;=$D$3,"SÌ","NO"))</f>
        <v/>
      </c>
    </row>
    <row r="81">
      <c r="A81" s="5" t="n">
        <v>76</v>
      </c>
      <c r="B81" s="5" t="inlineStr">
        <is>
          <t>Aperta Campagna (Oltre Top 50)</t>
        </is>
      </c>
      <c r="C81" s="5" t="inlineStr">
        <is>
          <t>✅ Priorità 2 · Aperta Campagna Qualificata</t>
        </is>
      </c>
      <c r="D81" s="5" t="inlineStr">
        <is>
          <t>Monticelli d'Ongina</t>
        </is>
      </c>
      <c r="E81" s="5" t="inlineStr">
        <is>
          <t>F671</t>
        </is>
      </c>
      <c r="F81" s="5" t="n">
        <v>32</v>
      </c>
      <c r="G81" s="5" t="n">
        <v>4</v>
      </c>
      <c r="H81" s="5" t="n">
        <v>5.24</v>
      </c>
      <c r="I81" s="5" t="n">
        <v>4.46</v>
      </c>
      <c r="J81" s="5" t="inlineStr">
        <is>
          <t>A21</t>
        </is>
      </c>
      <c r="K81" s="5" t="n">
        <v>102</v>
      </c>
      <c r="L81" s="5" t="n">
        <v>551</v>
      </c>
      <c r="M81" s="5" t="n">
        <v>380</v>
      </c>
      <c r="N81" s="5" t="inlineStr">
        <is>
          <t>Monticelli Ferrovia</t>
        </is>
      </c>
      <c r="O81" s="5" t="n">
        <v>132</v>
      </c>
      <c r="P81" s="5" t="n">
        <v>1.7</v>
      </c>
      <c r="Q81" s="5" t="inlineStr">
        <is>
          <t>CP Monticelli d'Ongina (AC001E01173)</t>
        </is>
      </c>
      <c r="R81" s="5" t="n">
        <v>2210</v>
      </c>
      <c r="S81" s="5" t="n">
        <v>188650</v>
      </c>
      <c r="T81" s="5" t="n">
        <v>4.37</v>
      </c>
      <c r="U81" s="5" t="n">
        <v>3.72</v>
      </c>
      <c r="V81" s="5" t="n">
        <v>6960</v>
      </c>
      <c r="W81" s="5" t="n">
        <v>5.5</v>
      </c>
      <c r="X81" s="5" t="n">
        <v>7.63</v>
      </c>
      <c r="Y81" s="6">
        <f>H81*10000*$D$3</f>
        <v/>
      </c>
      <c r="Z81" s="5" t="n">
        <v>15720</v>
      </c>
      <c r="AA81" s="5" t="n">
        <v>84</v>
      </c>
      <c r="AB81" s="5" t="n">
        <v>45.06319</v>
      </c>
      <c r="AC81" s="5" t="n">
        <v>9.940367</v>
      </c>
      <c r="AD81" s="7" t="inlineStr">
        <is>
          <t>Apri Ortofoto</t>
        </is>
      </c>
      <c r="AE81" s="5" t="inlineStr">
        <is>
          <t>Area cantiere a ~341 m: verificare la destinazione urbanistica; 0,8 ha oltre i 300 m</t>
        </is>
      </c>
      <c r="AF81" s="8" t="n"/>
      <c r="AG81" s="8" t="n"/>
      <c r="AH81" s="5">
        <f>IF(AG81="","",IF(AG81&lt;=$D$3,"SÌ","NO"))</f>
        <v/>
      </c>
    </row>
    <row r="82">
      <c r="A82" s="5" t="n">
        <v>77</v>
      </c>
      <c r="B82" s="5" t="inlineStr">
        <is>
          <t>Aperta Campagna (Oltre Top 50)</t>
        </is>
      </c>
      <c r="C82" s="5" t="inlineStr">
        <is>
          <t>✅ Priorità 2 · Aperta Campagna Qualificata</t>
        </is>
      </c>
      <c r="D82" s="5" t="inlineStr">
        <is>
          <t>Fiorenzuola d'Arda</t>
        </is>
      </c>
      <c r="E82" s="5" t="inlineStr">
        <is>
          <t>D611</t>
        </is>
      </c>
      <c r="F82" s="5" t="n">
        <v>21</v>
      </c>
      <c r="G82" s="5" t="n">
        <v>187</v>
      </c>
      <c r="H82" s="5" t="n">
        <v>4.96</v>
      </c>
      <c r="I82" s="5" t="n">
        <v>4.44</v>
      </c>
      <c r="J82" s="5" t="inlineStr">
        <is>
          <t>A1</t>
        </is>
      </c>
      <c r="K82" s="5" t="n">
        <v>34</v>
      </c>
      <c r="L82" s="5" t="n">
        <v>306</v>
      </c>
      <c r="M82" s="5" t="n">
        <v>132</v>
      </c>
      <c r="N82" s="5" t="inlineStr">
        <is>
          <t>Cortemaggiore</t>
        </is>
      </c>
      <c r="O82" s="5" t="n">
        <v>132</v>
      </c>
      <c r="P82" s="5" t="n">
        <v>7.6</v>
      </c>
      <c r="Q82" s="5" t="inlineStr">
        <is>
          <t>CP Fiorenzuola d'Arda (AC001E01230)</t>
        </is>
      </c>
      <c r="R82" s="5" t="n">
        <v>6990</v>
      </c>
      <c r="S82" s="5" t="n">
        <v>499350</v>
      </c>
      <c r="T82" s="5" t="n">
        <v>4.13</v>
      </c>
      <c r="U82" s="5" t="n">
        <v>3.7</v>
      </c>
      <c r="V82" s="5" t="n">
        <v>6578</v>
      </c>
      <c r="W82" s="5" t="n">
        <v>5.45</v>
      </c>
      <c r="X82" s="5" t="n">
        <v>7.55</v>
      </c>
      <c r="Y82" s="6">
        <f>H82*10000*$D$3</f>
        <v/>
      </c>
      <c r="Z82" s="5" t="n">
        <v>14880</v>
      </c>
      <c r="AA82" s="5" t="n">
        <v>74</v>
      </c>
      <c r="AB82" s="5" t="n">
        <v>44.941347</v>
      </c>
      <c r="AC82" s="5" t="n">
        <v>9.950054</v>
      </c>
      <c r="AD82" s="7" t="inlineStr">
        <is>
          <t>Apri Ortofoto</t>
        </is>
      </c>
      <c r="AE82" s="5" t="inlineStr">
        <is>
          <t>0,5 ha oltre i 300 m</t>
        </is>
      </c>
      <c r="AF82" s="8" t="n"/>
      <c r="AG82" s="8" t="n"/>
      <c r="AH82" s="5">
        <f>IF(AG82="","",IF(AG82&lt;=$D$3,"SÌ","NO"))</f>
        <v/>
      </c>
    </row>
    <row r="83">
      <c r="A83" s="5" t="n">
        <v>78</v>
      </c>
      <c r="B83" s="5" t="inlineStr">
        <is>
          <t>Aperta Campagna (Oltre Top 50)</t>
        </is>
      </c>
      <c r="C83" s="5" t="inlineStr">
        <is>
          <t>🔥 Priorità 1 · Top Taglia / Rete AT Vicina</t>
        </is>
      </c>
      <c r="D83" s="5" t="inlineStr">
        <is>
          <t>Sarmato</t>
        </is>
      </c>
      <c r="E83" s="5" t="inlineStr">
        <is>
          <t>I434</t>
        </is>
      </c>
      <c r="F83" s="5" t="n">
        <v>9</v>
      </c>
      <c r="G83" s="5" t="n">
        <v>10</v>
      </c>
      <c r="H83" s="5" t="n">
        <v>4.66</v>
      </c>
      <c r="I83" s="5" t="n">
        <v>4.44</v>
      </c>
      <c r="J83" s="5" t="inlineStr">
        <is>
          <t>A21</t>
        </is>
      </c>
      <c r="K83" s="5" t="n">
        <v>117</v>
      </c>
      <c r="L83" s="5" t="n">
        <v>619</v>
      </c>
      <c r="M83" s="5" t="n">
        <v>132</v>
      </c>
      <c r="N83" s="5" t="inlineStr">
        <is>
          <t>Sarmato FS</t>
        </is>
      </c>
      <c r="O83" s="5" t="n">
        <v>132</v>
      </c>
      <c r="P83" s="5" t="n">
        <v>1.1</v>
      </c>
      <c r="Q83" s="5" t="inlineStr">
        <is>
          <t>CP Rottofreno (AC001E01165)</t>
        </is>
      </c>
      <c r="R83" s="5" t="n">
        <v>1430</v>
      </c>
      <c r="S83" s="5" t="n">
        <v>137950</v>
      </c>
      <c r="T83" s="5" t="n">
        <v>3.88</v>
      </c>
      <c r="U83" s="5" t="n">
        <v>3.7</v>
      </c>
      <c r="V83" s="5" t="n">
        <v>6180</v>
      </c>
      <c r="W83" s="5" t="n">
        <v>5.6</v>
      </c>
      <c r="X83" s="5" t="n">
        <v>7.76</v>
      </c>
      <c r="Y83" s="6">
        <f>H83*10000*$D$3</f>
        <v/>
      </c>
      <c r="Z83" s="5" t="n">
        <v>13980</v>
      </c>
      <c r="AA83" s="5" t="n">
        <v>89.5</v>
      </c>
      <c r="AB83" s="5" t="n">
        <v>45.072668</v>
      </c>
      <c r="AC83" s="5" t="n">
        <v>9.491939</v>
      </c>
      <c r="AD83" s="7" t="inlineStr">
        <is>
          <t>Apri Ortofoto</t>
        </is>
      </c>
      <c r="AE83" s="5" t="inlineStr">
        <is>
          <t>Stazione elettrica Sarmato FS a ~1,1 km</t>
        </is>
      </c>
      <c r="AF83" s="8" t="n"/>
      <c r="AG83" s="8" t="n"/>
      <c r="AH83" s="5">
        <f>IF(AG83="","",IF(AG83&lt;=$D$3,"SÌ","NO"))</f>
        <v/>
      </c>
    </row>
    <row r="84">
      <c r="A84" s="5" t="n">
        <v>79</v>
      </c>
      <c r="B84" s="5" t="inlineStr">
        <is>
          <t>Aperta Campagna (Oltre Top 50)</t>
        </is>
      </c>
      <c r="C84" s="5" t="inlineStr">
        <is>
          <t>🔥 Priorità 1 · Top Taglia / Rete AT Vicina</t>
        </is>
      </c>
      <c r="D84" s="5" t="inlineStr">
        <is>
          <t>Monticelli d'Ongina</t>
        </is>
      </c>
      <c r="E84" s="5" t="inlineStr">
        <is>
          <t>F671</t>
        </is>
      </c>
      <c r="F84" s="5" t="n">
        <v>32</v>
      </c>
      <c r="G84" s="5" t="n">
        <v>3</v>
      </c>
      <c r="H84" s="5" t="n">
        <v>4.44</v>
      </c>
      <c r="I84" s="5" t="n">
        <v>4.44</v>
      </c>
      <c r="J84" s="5" t="inlineStr">
        <is>
          <t>A21</t>
        </is>
      </c>
      <c r="K84" s="5" t="n">
        <v>11</v>
      </c>
      <c r="L84" s="5" t="n">
        <v>304</v>
      </c>
      <c r="M84" s="5" t="n">
        <v>380</v>
      </c>
      <c r="N84" s="5" t="inlineStr">
        <is>
          <t>Monticelli Ferrovia</t>
        </is>
      </c>
      <c r="O84" s="5" t="n">
        <v>132</v>
      </c>
      <c r="P84" s="5" t="n">
        <v>1.2</v>
      </c>
      <c r="Q84" s="5" t="inlineStr">
        <is>
          <t>CP Monticelli d'Ongina (AC001E01173)</t>
        </is>
      </c>
      <c r="R84" s="5" t="n">
        <v>1560</v>
      </c>
      <c r="S84" s="5" t="n">
        <v>146400</v>
      </c>
      <c r="T84" s="5" t="n">
        <v>3.7</v>
      </c>
      <c r="U84" s="5" t="n">
        <v>3.7</v>
      </c>
      <c r="V84" s="5" t="n">
        <v>5893</v>
      </c>
      <c r="W84" s="5" t="n">
        <v>5.5</v>
      </c>
      <c r="X84" s="5" t="n">
        <v>7.63</v>
      </c>
      <c r="Y84" s="6">
        <f>H84*10000*$D$3</f>
        <v/>
      </c>
      <c r="Z84" s="5" t="n">
        <v>13320</v>
      </c>
      <c r="AA84" s="5" t="n">
        <v>89.5</v>
      </c>
      <c r="AB84" s="5" t="n">
        <v>45.060834</v>
      </c>
      <c r="AC84" s="5" t="n">
        <v>9.934042</v>
      </c>
      <c r="AD84" s="7" t="inlineStr">
        <is>
          <t>Apri Ortofoto</t>
        </is>
      </c>
      <c r="AE84" s="5" t="inlineStr">
        <is>
          <t>Stazione elettrica Monticelli Ferrovia a ~1,2 km</t>
        </is>
      </c>
      <c r="AF84" s="8" t="n"/>
      <c r="AG84" s="8" t="n"/>
      <c r="AH84" s="5">
        <f>IF(AG84="","",IF(AG84&lt;=$D$3,"SÌ","NO"))</f>
        <v/>
      </c>
    </row>
    <row r="85">
      <c r="A85" s="5" t="n">
        <v>80</v>
      </c>
      <c r="B85" s="5" t="inlineStr">
        <is>
          <t>Aperta Campagna (Oltre Top 50)</t>
        </is>
      </c>
      <c r="C85" s="5" t="inlineStr">
        <is>
          <t>✅ Priorità 2 · Aperta Campagna Qualificata</t>
        </is>
      </c>
      <c r="D85" s="5" t="inlineStr">
        <is>
          <t>Rottofreno</t>
        </is>
      </c>
      <c r="E85" s="5" t="inlineStr">
        <is>
          <t>H593</t>
        </is>
      </c>
      <c r="F85" s="5" t="n">
        <v>13</v>
      </c>
      <c r="G85" s="5" t="n">
        <v>66</v>
      </c>
      <c r="H85" s="5" t="n">
        <v>4.41</v>
      </c>
      <c r="I85" s="5" t="n">
        <v>4.41</v>
      </c>
      <c r="J85" s="5" t="inlineStr">
        <is>
          <t>A21</t>
        </is>
      </c>
      <c r="K85" s="5" t="n">
        <v>14</v>
      </c>
      <c r="L85" s="5" t="n">
        <v>1562</v>
      </c>
      <c r="M85" s="5" t="n">
        <v>132</v>
      </c>
      <c r="N85" s="5" t="inlineStr">
        <is>
          <t>Rottofreno</t>
        </is>
      </c>
      <c r="O85" s="5" t="n">
        <v>132</v>
      </c>
      <c r="P85" s="5" t="n">
        <v>2.2</v>
      </c>
      <c r="Q85" s="5" t="inlineStr">
        <is>
          <t>CP Rottofreno (AC001E01165)</t>
        </is>
      </c>
      <c r="R85" s="5" t="n">
        <v>1513</v>
      </c>
      <c r="S85" s="5" t="n">
        <v>143345</v>
      </c>
      <c r="T85" s="5" t="n">
        <v>3.68</v>
      </c>
      <c r="U85" s="5" t="n">
        <v>3.68</v>
      </c>
      <c r="V85" s="5" t="n">
        <v>5861</v>
      </c>
      <c r="W85" s="5" t="n">
        <v>5.65</v>
      </c>
      <c r="X85" s="5" t="n">
        <v>7.83</v>
      </c>
      <c r="Y85" s="6">
        <f>H85*10000*$D$3</f>
        <v/>
      </c>
      <c r="Z85" s="5" t="n">
        <v>13230</v>
      </c>
      <c r="AA85" s="5" t="n">
        <v>89.5</v>
      </c>
      <c r="AB85" s="5" t="n">
        <v>45.064337</v>
      </c>
      <c r="AC85" s="5" t="n">
        <v>9.552918999999999</v>
      </c>
      <c r="AD85" s="7" t="inlineStr">
        <is>
          <t>Apri Ortofoto</t>
        </is>
      </c>
      <c r="AE85" s="5" t="inlineStr">
        <is>
          <t>Seminativo aperto in fascia autostradale ≤300m D.Lgs. 199/2021</t>
        </is>
      </c>
      <c r="AF85" s="8" t="n"/>
      <c r="AG85" s="8" t="n"/>
      <c r="AH85" s="5">
        <f>IF(AG85="","",IF(AG85&lt;=$D$3,"SÌ","NO"))</f>
        <v/>
      </c>
    </row>
    <row r="86">
      <c r="A86" s="5" t="n">
        <v>81</v>
      </c>
      <c r="B86" s="5" t="inlineStr">
        <is>
          <t>Aperta Campagna (Oltre Top 50)</t>
        </is>
      </c>
      <c r="C86" s="5" t="inlineStr">
        <is>
          <t>✅ Priorità 2 · Aperta Campagna Qualificata</t>
        </is>
      </c>
      <c r="D86" s="5" t="inlineStr">
        <is>
          <t>Castelvetro Piacentino</t>
        </is>
      </c>
      <c r="E86" s="5" t="inlineStr">
        <is>
          <t>C288</t>
        </is>
      </c>
      <c r="F86" s="5" t="n">
        <v>16</v>
      </c>
      <c r="G86" s="5" t="n">
        <v>67</v>
      </c>
      <c r="H86" s="5" t="n">
        <v>4.71</v>
      </c>
      <c r="I86" s="5" t="n">
        <v>4.39</v>
      </c>
      <c r="J86" s="5" t="inlineStr">
        <is>
          <t>A21</t>
        </is>
      </c>
      <c r="K86" s="5" t="n">
        <v>82</v>
      </c>
      <c r="L86" s="5" t="n">
        <v>2326</v>
      </c>
      <c r="M86" s="5" t="n">
        <v>380</v>
      </c>
      <c r="N86" s="5" t="inlineStr">
        <is>
          <t>Cortemaggiore</t>
        </is>
      </c>
      <c r="O86" s="5" t="n">
        <v>132</v>
      </c>
      <c r="P86" s="5" t="n">
        <v>8.6</v>
      </c>
      <c r="Q86" s="5" t="inlineStr">
        <is>
          <t>CP Monticelli d'Ongina (AC001E01173)</t>
        </is>
      </c>
      <c r="R86" s="5" t="n">
        <v>6603</v>
      </c>
      <c r="S86" s="5" t="n">
        <v>474195</v>
      </c>
      <c r="T86" s="5" t="n">
        <v>3.93</v>
      </c>
      <c r="U86" s="5" t="n">
        <v>3.66</v>
      </c>
      <c r="V86" s="5" t="n">
        <v>6259</v>
      </c>
      <c r="W86" s="5" t="n">
        <v>5.5</v>
      </c>
      <c r="X86" s="5" t="n">
        <v>7.63</v>
      </c>
      <c r="Y86" s="6">
        <f>H86*10000*$D$3</f>
        <v/>
      </c>
      <c r="Z86" s="5" t="n">
        <v>14130</v>
      </c>
      <c r="AA86" s="5" t="n">
        <v>74</v>
      </c>
      <c r="AB86" s="5" t="n">
        <v>45.0799</v>
      </c>
      <c r="AC86" s="5" t="n">
        <v>9.972448</v>
      </c>
      <c r="AD86" s="7" t="inlineStr">
        <is>
          <t>Apri Ortofoto</t>
        </is>
      </c>
      <c r="AE86" s="5" t="inlineStr">
        <is>
          <t>Seminativo aperto in fascia autostradale ≤300m D.Lgs. 199/2021</t>
        </is>
      </c>
      <c r="AF86" s="8" t="n"/>
      <c r="AG86" s="8" t="n"/>
      <c r="AH86" s="5">
        <f>IF(AG86="","",IF(AG86&lt;=$D$3,"SÌ","NO"))</f>
        <v/>
      </c>
    </row>
    <row r="87">
      <c r="A87" s="5" t="n">
        <v>82</v>
      </c>
      <c r="B87" s="5" t="inlineStr">
        <is>
          <t>Aperta Campagna (Oltre Top 50)</t>
        </is>
      </c>
      <c r="C87" s="5" t="inlineStr">
        <is>
          <t>✅ Priorità 2 · Aperta Campagna Qualificata</t>
        </is>
      </c>
      <c r="D87" s="5" t="inlineStr">
        <is>
          <t>Castel San Giovanni</t>
        </is>
      </c>
      <c r="E87" s="5" t="inlineStr">
        <is>
          <t>C261</t>
        </is>
      </c>
      <c r="F87" s="5" t="n">
        <v>8</v>
      </c>
      <c r="G87" s="5" t="n">
        <v>228</v>
      </c>
      <c r="H87" s="5" t="n">
        <v>4.37</v>
      </c>
      <c r="I87" s="5" t="n">
        <v>4.37</v>
      </c>
      <c r="J87" s="5" t="inlineStr">
        <is>
          <t>A21</t>
        </is>
      </c>
      <c r="K87" s="5" t="n">
        <v>17</v>
      </c>
      <c r="L87" s="5" t="n">
        <v>293</v>
      </c>
      <c r="M87" s="5" t="n">
        <v>132</v>
      </c>
      <c r="N87" s="5" t="inlineStr">
        <is>
          <t>(senza nome)</t>
        </is>
      </c>
      <c r="O87" s="5" t="n">
        <v>132</v>
      </c>
      <c r="P87" s="5" t="n">
        <v>7</v>
      </c>
      <c r="Q87" s="5" t="inlineStr">
        <is>
          <t>CP Arena Po (AC001E01164)</t>
        </is>
      </c>
      <c r="R87" s="5" t="n">
        <v>4556</v>
      </c>
      <c r="S87" s="5" t="n">
        <v>341140</v>
      </c>
      <c r="T87" s="5" t="n">
        <v>3.64</v>
      </c>
      <c r="U87" s="5" t="n">
        <v>3.64</v>
      </c>
      <c r="V87" s="5" t="n">
        <v>5797</v>
      </c>
      <c r="W87" s="5" t="n">
        <v>5.6</v>
      </c>
      <c r="X87" s="5" t="n">
        <v>7.76</v>
      </c>
      <c r="Y87" s="6">
        <f>H87*10000*$D$3</f>
        <v/>
      </c>
      <c r="Z87" s="5" t="n">
        <v>13110</v>
      </c>
      <c r="AA87" s="5" t="n">
        <v>74</v>
      </c>
      <c r="AB87" s="5" t="n">
        <v>45.078878</v>
      </c>
      <c r="AC87" s="5" t="n">
        <v>9.422779999999999</v>
      </c>
      <c r="AD87" s="7" t="inlineStr">
        <is>
          <t>Apri Ortofoto</t>
        </is>
      </c>
      <c r="AE87" s="5" t="inlineStr">
        <is>
          <t>Linea AT 132 kV a ~293 m</t>
        </is>
      </c>
      <c r="AF87" s="8" t="n"/>
      <c r="AG87" s="8" t="n"/>
      <c r="AH87" s="5">
        <f>IF(AG87="","",IF(AG87&lt;=$D$3,"SÌ","NO"))</f>
        <v/>
      </c>
    </row>
    <row r="88">
      <c r="A88" s="5" t="n">
        <v>83</v>
      </c>
      <c r="B88" s="5" t="inlineStr">
        <is>
          <t>Estensione WMS AdE (Griglia Sfalsata)</t>
        </is>
      </c>
      <c r="C88" s="5" t="inlineStr">
        <is>
          <t>✅ Priorità 2 · Aperta Campagna Qualificata</t>
        </is>
      </c>
      <c r="D88" s="5" t="inlineStr">
        <is>
          <t>Rottofreno</t>
        </is>
      </c>
      <c r="E88" s="5" t="inlineStr">
        <is>
          <t>H593</t>
        </is>
      </c>
      <c r="F88" s="5" t="n">
        <v>12</v>
      </c>
      <c r="G88" s="5" t="n">
        <v>57</v>
      </c>
      <c r="H88" s="5" t="n">
        <v>14.17</v>
      </c>
      <c r="I88" s="5" t="n">
        <v>4.33</v>
      </c>
      <c r="J88" s="5" t="inlineStr">
        <is>
          <t>A21</t>
        </is>
      </c>
      <c r="K88" s="5" t="n">
        <v>64</v>
      </c>
      <c r="L88" s="5" t="n">
        <v>947</v>
      </c>
      <c r="M88" s="5" t="n">
        <v>132</v>
      </c>
      <c r="N88" s="5" t="inlineStr">
        <is>
          <t>Rottofreno</t>
        </is>
      </c>
      <c r="O88" s="5" t="n">
        <v>132</v>
      </c>
      <c r="P88" s="5" t="n">
        <v>2.9</v>
      </c>
      <c r="Q88" s="5" t="inlineStr">
        <is>
          <t>CP Rottofreno (AC001E01165)</t>
        </is>
      </c>
      <c r="R88" s="5" t="n">
        <v>2320</v>
      </c>
      <c r="S88" s="5" t="n">
        <v>195800</v>
      </c>
      <c r="T88" s="5" t="n">
        <v>11.81</v>
      </c>
      <c r="U88" s="5" t="n">
        <v>3.61</v>
      </c>
      <c r="V88" s="5" t="n">
        <v>18810</v>
      </c>
      <c r="W88" s="5" t="n">
        <v>5.65</v>
      </c>
      <c r="X88" s="5" t="n">
        <v>7.83</v>
      </c>
      <c r="Y88" s="6">
        <f>H88*10000*$D$3</f>
        <v/>
      </c>
      <c r="Z88" s="5" t="n">
        <v>42510</v>
      </c>
      <c r="AA88" s="5" t="n">
        <v>84.5</v>
      </c>
      <c r="AB88" s="5" t="n">
        <v>45.068866</v>
      </c>
      <c r="AC88" s="5" t="n">
        <v>9.548037000000001</v>
      </c>
      <c r="AD88" s="7" t="inlineStr">
        <is>
          <t>Apri Ortofoto</t>
        </is>
      </c>
      <c r="AE88" s="5" t="inlineStr">
        <is>
          <t>9,8 ha oltre i 300 m</t>
        </is>
      </c>
      <c r="AF88" s="8" t="n"/>
      <c r="AG88" s="8" t="n"/>
      <c r="AH88" s="5">
        <f>IF(AG88="","",IF(AG88&lt;=$D$3,"SÌ","NO"))</f>
        <v/>
      </c>
    </row>
    <row r="89">
      <c r="A89" s="5" t="n">
        <v>84</v>
      </c>
      <c r="B89" s="5" t="inlineStr">
        <is>
          <t>Aperta Campagna (Oltre Top 50)</t>
        </is>
      </c>
      <c r="C89" s="5" t="inlineStr">
        <is>
          <t>✅ Priorità 2 · Aperta Campagna Qualificata</t>
        </is>
      </c>
      <c r="D89" s="5" t="inlineStr">
        <is>
          <t>Alseno</t>
        </is>
      </c>
      <c r="E89" s="5" t="inlineStr">
        <is>
          <t>A223</t>
        </is>
      </c>
      <c r="F89" s="5" t="n">
        <v>4</v>
      </c>
      <c r="G89" s="5" t="n">
        <v>256</v>
      </c>
      <c r="H89" s="5" t="n">
        <v>4.32</v>
      </c>
      <c r="I89" s="5" t="n">
        <v>4.32</v>
      </c>
      <c r="J89" s="5" t="inlineStr">
        <is>
          <t>A1</t>
        </is>
      </c>
      <c r="K89" s="5" t="n">
        <v>46</v>
      </c>
      <c r="L89" s="5" t="n">
        <v>584</v>
      </c>
      <c r="M89" s="5" t="n">
        <v>132</v>
      </c>
      <c r="N89" s="5" t="inlineStr">
        <is>
          <t>Cortemaggiore</t>
        </is>
      </c>
      <c r="O89" s="5" t="n">
        <v>132</v>
      </c>
      <c r="P89" s="5" t="n">
        <v>9.199999999999999</v>
      </c>
      <c r="Q89" s="5" t="inlineStr">
        <is>
          <t>CP Fiorenzuola d'Arda (AC001E01230)</t>
        </is>
      </c>
      <c r="R89" s="5" t="n">
        <v>9060</v>
      </c>
      <c r="S89" s="5" t="n">
        <v>633900</v>
      </c>
      <c r="T89" s="5" t="n">
        <v>3.6</v>
      </c>
      <c r="U89" s="5" t="n">
        <v>3.6</v>
      </c>
      <c r="V89" s="5" t="n">
        <v>5734</v>
      </c>
      <c r="W89" s="5" t="n">
        <v>5.45</v>
      </c>
      <c r="X89" s="5" t="n">
        <v>7.55</v>
      </c>
      <c r="Y89" s="6">
        <f>H89*10000*$D$3</f>
        <v/>
      </c>
      <c r="Z89" s="5" t="n">
        <v>12960</v>
      </c>
      <c r="AA89" s="5" t="n">
        <v>74</v>
      </c>
      <c r="AB89" s="5" t="n">
        <v>44.931055</v>
      </c>
      <c r="AC89" s="5" t="n">
        <v>9.973141</v>
      </c>
      <c r="AD89" s="7" t="inlineStr">
        <is>
          <t>Apri Ortofoto</t>
        </is>
      </c>
      <c r="AE89" s="5" t="inlineStr">
        <is>
          <t>Seminativo aperto in fascia autostradale ≤300m D.Lgs. 199/2021</t>
        </is>
      </c>
      <c r="AF89" s="8" t="n"/>
      <c r="AG89" s="8" t="n"/>
      <c r="AH89" s="5">
        <f>IF(AG89="","",IF(AG89&lt;=$D$3,"SÌ","NO"))</f>
        <v/>
      </c>
    </row>
    <row r="90">
      <c r="A90" s="5" t="n">
        <v>85</v>
      </c>
      <c r="B90" s="5" t="inlineStr">
        <is>
          <t>Estensione WMS AdE (Griglia Sfalsata)</t>
        </is>
      </c>
      <c r="C90" s="5" t="inlineStr">
        <is>
          <t>🔥 Priorità 1 · Top Taglia / Rete AT Vicina</t>
        </is>
      </c>
      <c r="D90" s="5" t="inlineStr">
        <is>
          <t>San Pietro in Cerro</t>
        </is>
      </c>
      <c r="E90" s="5" t="inlineStr">
        <is>
          <t>G788</t>
        </is>
      </c>
      <c r="F90" s="5" t="n">
        <v>3</v>
      </c>
      <c r="G90" s="5" t="n">
        <v>5</v>
      </c>
      <c r="H90" s="5" t="n">
        <v>7.19</v>
      </c>
      <c r="I90" s="5" t="n">
        <v>4.28</v>
      </c>
      <c r="J90" s="5" t="inlineStr">
        <is>
          <t>A21</t>
        </is>
      </c>
      <c r="K90" s="5" t="n">
        <v>22</v>
      </c>
      <c r="L90" s="5" t="n">
        <v>296</v>
      </c>
      <c r="M90" s="5" t="n">
        <v>380</v>
      </c>
      <c r="N90" s="5" t="inlineStr">
        <is>
          <t>Monticelli Ferrovia</t>
        </is>
      </c>
      <c r="O90" s="5" t="n">
        <v>132</v>
      </c>
      <c r="P90" s="5" t="n">
        <v>1.3</v>
      </c>
      <c r="Q90" s="5" t="inlineStr">
        <is>
          <t>CP Monticelli d'Ongina (AC001E01173)</t>
        </is>
      </c>
      <c r="R90" s="5" t="n">
        <v>1690</v>
      </c>
      <c r="S90" s="5" t="n">
        <v>154850</v>
      </c>
      <c r="T90" s="5" t="n">
        <v>5.99</v>
      </c>
      <c r="U90" s="5" t="n">
        <v>3.57</v>
      </c>
      <c r="V90" s="5" t="n">
        <v>9540</v>
      </c>
      <c r="W90" s="5" t="n">
        <v>5.5</v>
      </c>
      <c r="X90" s="5" t="n">
        <v>7.63</v>
      </c>
      <c r="Y90" s="6">
        <f>H90*10000*$D$3</f>
        <v/>
      </c>
      <c r="Z90" s="5" t="n">
        <v>21570</v>
      </c>
      <c r="AA90" s="5" t="n">
        <v>88</v>
      </c>
      <c r="AB90" s="5" t="n">
        <v>45.055404</v>
      </c>
      <c r="AC90" s="5" t="n">
        <v>9.932962</v>
      </c>
      <c r="AD90" s="7" t="inlineStr">
        <is>
          <t>Apri Ortofoto</t>
        </is>
      </c>
      <c r="AE90" s="5" t="inlineStr">
        <is>
          <t>Linea AT 380 kV a ~296 m; Stazione elettrica Monticelli Ferrovia a ~1,3 km; 2,9 ha oltre i 300 m</t>
        </is>
      </c>
      <c r="AF90" s="8" t="n"/>
      <c r="AG90" s="8" t="n"/>
      <c r="AH90" s="5">
        <f>IF(AG90="","",IF(AG90&lt;=$D$3,"SÌ","NO"))</f>
        <v/>
      </c>
    </row>
    <row r="91">
      <c r="A91" s="5" t="n">
        <v>86</v>
      </c>
      <c r="B91" s="5" t="inlineStr">
        <is>
          <t>Aperta Campagna (Oltre Top 50)</t>
        </is>
      </c>
      <c r="C91" s="5" t="inlineStr">
        <is>
          <t>🔥 Priorità 1 · Top Taglia / Rete AT Vicina</t>
        </is>
      </c>
      <c r="D91" s="5" t="inlineStr">
        <is>
          <t>Cadeo</t>
        </is>
      </c>
      <c r="E91" s="5" t="inlineStr">
        <is>
          <t>B332</t>
        </is>
      </c>
      <c r="F91" s="5" t="n">
        <v>18</v>
      </c>
      <c r="G91" s="5" t="n">
        <v>257</v>
      </c>
      <c r="H91" s="5" t="n">
        <v>4.27</v>
      </c>
      <c r="I91" s="5" t="n">
        <v>4.27</v>
      </c>
      <c r="J91" s="5" t="inlineStr">
        <is>
          <t>A1</t>
        </is>
      </c>
      <c r="K91" s="5" t="n">
        <v>61</v>
      </c>
      <c r="L91" s="5" t="n">
        <v>75</v>
      </c>
      <c r="M91" s="5" t="n">
        <v>132</v>
      </c>
      <c r="N91" s="5" t="inlineStr">
        <is>
          <t>Cadeo FS</t>
        </is>
      </c>
      <c r="O91" s="5" t="n">
        <v>132</v>
      </c>
      <c r="P91" s="5" t="n">
        <v>1.7</v>
      </c>
      <c r="Q91" s="5" t="inlineStr">
        <is>
          <t>CP Cortemaggiore (AC001E01172)</t>
        </is>
      </c>
      <c r="R91" s="5" t="n">
        <v>2210</v>
      </c>
      <c r="S91" s="5" t="n">
        <v>188650</v>
      </c>
      <c r="T91" s="5" t="n">
        <v>3.56</v>
      </c>
      <c r="U91" s="5" t="n">
        <v>3.56</v>
      </c>
      <c r="V91" s="5" t="n">
        <v>5670</v>
      </c>
      <c r="W91" s="5" t="n">
        <v>5.45</v>
      </c>
      <c r="X91" s="5" t="n">
        <v>7.55</v>
      </c>
      <c r="Y91" s="6">
        <f>H91*10000*$D$3</f>
        <v/>
      </c>
      <c r="Z91" s="5" t="n">
        <v>12810</v>
      </c>
      <c r="AA91" s="5" t="n">
        <v>85.5</v>
      </c>
      <c r="AB91" s="5" t="n">
        <v>44.982977</v>
      </c>
      <c r="AC91" s="5" t="n">
        <v>9.861957</v>
      </c>
      <c r="AD91" s="7" t="inlineStr">
        <is>
          <t>Apri Ortofoto</t>
        </is>
      </c>
      <c r="AE91" s="5" t="inlineStr">
        <is>
          <t>Linea AT 132 kV a ~75 m</t>
        </is>
      </c>
      <c r="AF91" s="8" t="n"/>
      <c r="AG91" s="8" t="n"/>
      <c r="AH91" s="5">
        <f>IF(AG91="","",IF(AG91&lt;=$D$3,"SÌ","NO"))</f>
        <v/>
      </c>
    </row>
    <row r="92">
      <c r="A92" s="5" t="n">
        <v>87</v>
      </c>
      <c r="B92" s="5" t="inlineStr">
        <is>
          <t>Aperta Campagna (Oltre Top 50)</t>
        </is>
      </c>
      <c r="C92" s="5" t="inlineStr">
        <is>
          <t>🔥 Priorità 1 · Top Taglia / Rete AT Vicina</t>
        </is>
      </c>
      <c r="D92" s="5" t="inlineStr">
        <is>
          <t>Fiorenzuola d'Arda</t>
        </is>
      </c>
      <c r="E92" s="5" t="inlineStr">
        <is>
          <t>D611</t>
        </is>
      </c>
      <c r="F92" s="5" t="n">
        <v>9</v>
      </c>
      <c r="G92" s="5" t="n">
        <v>226</v>
      </c>
      <c r="H92" s="5" t="n">
        <v>4.16</v>
      </c>
      <c r="I92" s="5" t="n">
        <v>4.16</v>
      </c>
      <c r="J92" s="5" t="inlineStr">
        <is>
          <t>A1</t>
        </is>
      </c>
      <c r="K92" s="5" t="n">
        <v>38</v>
      </c>
      <c r="L92" s="5" t="n">
        <v>48</v>
      </c>
      <c r="M92" s="5" t="n">
        <v>132</v>
      </c>
      <c r="N92" s="5" t="inlineStr">
        <is>
          <t>Fiorenzuola AV</t>
        </is>
      </c>
      <c r="O92" s="5" t="n">
        <v>132</v>
      </c>
      <c r="P92" s="5" t="n">
        <v>2</v>
      </c>
      <c r="Q92" s="5" t="inlineStr">
        <is>
          <t>CP Fiorenzuola d'Arda (AC001E01230)</t>
        </is>
      </c>
      <c r="R92" s="5" t="n">
        <v>2600</v>
      </c>
      <c r="S92" s="5" t="n">
        <v>214000</v>
      </c>
      <c r="T92" s="5" t="n">
        <v>3.47</v>
      </c>
      <c r="U92" s="5" t="n">
        <v>3.47</v>
      </c>
      <c r="V92" s="5" t="n">
        <v>5527</v>
      </c>
      <c r="W92" s="5" t="n">
        <v>5.45</v>
      </c>
      <c r="X92" s="5" t="n">
        <v>7.55</v>
      </c>
      <c r="Y92" s="6">
        <f>H92*10000*$D$3</f>
        <v/>
      </c>
      <c r="Z92" s="5" t="n">
        <v>12480</v>
      </c>
      <c r="AA92" s="5" t="n">
        <v>85.5</v>
      </c>
      <c r="AB92" s="5" t="n">
        <v>44.96107</v>
      </c>
      <c r="AC92" s="5" t="n">
        <v>9.912464</v>
      </c>
      <c r="AD92" s="7" t="inlineStr">
        <is>
          <t>Apri Ortofoto</t>
        </is>
      </c>
      <c r="AE92" s="5" t="inlineStr">
        <is>
          <t>Linea AT 132 kV a ~48 m</t>
        </is>
      </c>
      <c r="AF92" s="8" t="n"/>
      <c r="AG92" s="8" t="n"/>
      <c r="AH92" s="5">
        <f>IF(AG92="","",IF(AG92&lt;=$D$3,"SÌ","NO"))</f>
        <v/>
      </c>
    </row>
    <row r="93">
      <c r="A93" s="5" t="n">
        <v>88</v>
      </c>
      <c r="B93" s="5" t="inlineStr">
        <is>
          <t>Benchmark Test A1 (Pontenure-Cadeo)</t>
        </is>
      </c>
      <c r="C93" s="5" t="inlineStr">
        <is>
          <t>🔥 Priorità 1 · Top Taglia / Rete AT Vicina</t>
        </is>
      </c>
      <c r="D93" s="5" t="inlineStr">
        <is>
          <t>Pontenure</t>
        </is>
      </c>
      <c r="E93" s="5" t="inlineStr">
        <is>
          <t>G852</t>
        </is>
      </c>
      <c r="F93" s="5" t="n">
        <v>14</v>
      </c>
      <c r="G93" s="5" t="n">
        <v>21</v>
      </c>
      <c r="H93" s="5" t="n">
        <v>4.2</v>
      </c>
      <c r="I93" s="5" t="n">
        <v>4.1</v>
      </c>
      <c r="J93" s="5" t="inlineStr">
        <is>
          <t>A1</t>
        </is>
      </c>
      <c r="K93" s="5" t="n">
        <v>52</v>
      </c>
      <c r="L93" s="5" t="n">
        <v>120</v>
      </c>
      <c r="M93" s="5" t="n">
        <v>132</v>
      </c>
      <c r="N93" s="5" t="inlineStr">
        <is>
          <t>Cadeo FS</t>
        </is>
      </c>
      <c r="O93" s="5" t="n">
        <v>132</v>
      </c>
      <c r="P93" s="5" t="n">
        <v>4</v>
      </c>
      <c r="Q93" s="5" t="inlineStr">
        <is>
          <t>CP Pontenure 132/15 kV</t>
        </is>
      </c>
      <c r="R93" s="5" t="n">
        <v>4837</v>
      </c>
      <c r="S93" s="5" t="n">
        <v>359405</v>
      </c>
      <c r="T93" s="5" t="n">
        <v>3.5</v>
      </c>
      <c r="U93" s="5" t="n">
        <v>3.42</v>
      </c>
      <c r="V93" s="5" t="n">
        <v>5574</v>
      </c>
      <c r="W93" s="5" t="n">
        <v>5.85</v>
      </c>
      <c r="X93" s="5" t="n">
        <v>8</v>
      </c>
      <c r="Y93" s="6">
        <f>H93*10000*$D$3</f>
        <v/>
      </c>
      <c r="Z93" s="5" t="n">
        <v>12600</v>
      </c>
      <c r="AA93" s="5" t="n">
        <v>76.5</v>
      </c>
      <c r="AB93" s="5" t="n">
        <v>44.9972</v>
      </c>
      <c r="AC93" s="5" t="n">
        <v>9.8185</v>
      </c>
      <c r="AD93" s="7" t="inlineStr">
        <is>
          <t>Apri Ortofoto</t>
        </is>
      </c>
      <c r="AE93" s="5" t="inlineStr">
        <is>
          <t>Lotto 4 Benchmark Test A1 (contigua a Part. 134, accesso da Strada Comunale Valconasso)</t>
        </is>
      </c>
      <c r="AF93" s="8" t="n"/>
      <c r="AG93" s="8" t="n"/>
      <c r="AH93" s="5">
        <f>IF(AG93="","",IF(AG93&lt;=$D$3,"SÌ","NO"))</f>
        <v/>
      </c>
    </row>
    <row r="94">
      <c r="A94" s="5" t="n">
        <v>89</v>
      </c>
      <c r="B94" s="5" t="inlineStr">
        <is>
          <t>Estensione WMS AdE (Griglia Sfalsata)</t>
        </is>
      </c>
      <c r="C94" s="5" t="inlineStr">
        <is>
          <t>🔥 Priorità 1 · Top Taglia / Rete AT Vicina</t>
        </is>
      </c>
      <c r="D94" s="5" t="inlineStr">
        <is>
          <t>Rottofreno</t>
        </is>
      </c>
      <c r="E94" s="5" t="inlineStr">
        <is>
          <t>H593</t>
        </is>
      </c>
      <c r="F94" s="5" t="n">
        <v>14</v>
      </c>
      <c r="G94" s="5" t="n">
        <v>30</v>
      </c>
      <c r="H94" s="5" t="n">
        <v>6.03</v>
      </c>
      <c r="I94" s="5" t="n">
        <v>4.09</v>
      </c>
      <c r="J94" s="5" t="inlineStr">
        <is>
          <t>A21</t>
        </is>
      </c>
      <c r="K94" s="5" t="n">
        <v>37</v>
      </c>
      <c r="L94" s="5" t="n">
        <v>1205</v>
      </c>
      <c r="M94" s="5" t="n">
        <v>132</v>
      </c>
      <c r="N94" s="5" t="inlineStr">
        <is>
          <t>Rottofreno</t>
        </is>
      </c>
      <c r="O94" s="5" t="n">
        <v>132</v>
      </c>
      <c r="P94" s="5" t="n">
        <v>1.2</v>
      </c>
      <c r="Q94" s="5" t="inlineStr">
        <is>
          <t>CP Rottofreno (AC001E01165)</t>
        </is>
      </c>
      <c r="R94" s="5" t="n">
        <v>767</v>
      </c>
      <c r="S94" s="5" t="n">
        <v>94855</v>
      </c>
      <c r="T94" s="5" t="n">
        <v>5.03</v>
      </c>
      <c r="U94" s="5" t="n">
        <v>3.41</v>
      </c>
      <c r="V94" s="5" t="n">
        <v>8011</v>
      </c>
      <c r="W94" s="5" t="n">
        <v>5.65</v>
      </c>
      <c r="X94" s="5" t="n">
        <v>7.83</v>
      </c>
      <c r="Y94" s="6">
        <f>H94*10000*$D$3</f>
        <v/>
      </c>
      <c r="Z94" s="5" t="n">
        <v>18090</v>
      </c>
      <c r="AA94" s="5" t="n">
        <v>94.5</v>
      </c>
      <c r="AB94" s="5" t="n">
        <v>45.062372</v>
      </c>
      <c r="AC94" s="5" t="n">
        <v>9.568394</v>
      </c>
      <c r="AD94" s="7" t="inlineStr">
        <is>
          <t>Apri Ortofoto</t>
        </is>
      </c>
      <c r="AE94" s="5" t="inlineStr">
        <is>
          <t>Stazione elettrica Rottofreno a ~1,2 km; 1,9 ha oltre i 300 m</t>
        </is>
      </c>
      <c r="AF94" s="8" t="n"/>
      <c r="AG94" s="8" t="n"/>
      <c r="AH94" s="5">
        <f>IF(AG94="","",IF(AG94&lt;=$D$3,"SÌ","NO"))</f>
        <v/>
      </c>
    </row>
    <row r="95">
      <c r="A95" s="5" t="n">
        <v>90</v>
      </c>
      <c r="B95" s="5" t="inlineStr">
        <is>
          <t>Benchmark Test A1 (Pontenure-Cadeo)</t>
        </is>
      </c>
      <c r="C95" s="5" t="inlineStr">
        <is>
          <t>🔥 Priorità 1 · Top Taglia / Rete AT Vicina</t>
        </is>
      </c>
      <c r="D95" s="5" t="inlineStr">
        <is>
          <t>Pontenure</t>
        </is>
      </c>
      <c r="E95" s="5" t="inlineStr">
        <is>
          <t>G852</t>
        </is>
      </c>
      <c r="F95" s="5" t="n">
        <v>14</v>
      </c>
      <c r="G95" s="5" t="n">
        <v>86</v>
      </c>
      <c r="H95" s="5" t="n">
        <v>3.2</v>
      </c>
      <c r="I95" s="5" t="n">
        <v>3.2</v>
      </c>
      <c r="J95" s="5" t="inlineStr">
        <is>
          <t>A1</t>
        </is>
      </c>
      <c r="K95" s="5" t="n">
        <v>60</v>
      </c>
      <c r="L95" s="5" t="n">
        <v>140</v>
      </c>
      <c r="M95" s="5" t="n">
        <v>132</v>
      </c>
      <c r="N95" s="5" t="inlineStr">
        <is>
          <t>Cadeo FS</t>
        </is>
      </c>
      <c r="O95" s="5" t="n">
        <v>132</v>
      </c>
      <c r="P95" s="5" t="n">
        <v>3.9</v>
      </c>
      <c r="Q95" s="5" t="inlineStr">
        <is>
          <t>CP Pontenure 132/15 kV</t>
        </is>
      </c>
      <c r="R95" s="5" t="n">
        <v>5070</v>
      </c>
      <c r="S95" s="5" t="n">
        <v>374550</v>
      </c>
      <c r="T95" s="5" t="n">
        <v>2.67</v>
      </c>
      <c r="U95" s="5" t="n">
        <v>2.67</v>
      </c>
      <c r="V95" s="5" t="n">
        <v>4253</v>
      </c>
      <c r="W95" s="5" t="n">
        <v>5.85</v>
      </c>
      <c r="X95" s="5" t="n">
        <v>8</v>
      </c>
      <c r="Y95" s="6">
        <f>H95*10000*$D$3</f>
        <v/>
      </c>
      <c r="Z95" s="5" t="n">
        <v>9600</v>
      </c>
      <c r="AA95" s="5" t="n">
        <v>76.5</v>
      </c>
      <c r="AB95" s="5" t="n">
        <v>44.999</v>
      </c>
      <c r="AC95" s="5" t="n">
        <v>9.821999999999999</v>
      </c>
      <c r="AD95" s="7" t="inlineStr">
        <is>
          <t>Apri Ortofoto</t>
        </is>
      </c>
      <c r="AE95" s="5" t="inlineStr">
        <is>
          <t>Lotto 5 Benchmark Test A1 (contigua Part. 44, tra A1 e ferrovia AV)</t>
        </is>
      </c>
      <c r="AF95" s="8" t="n"/>
      <c r="AG95" s="8" t="n"/>
      <c r="AH95" s="5">
        <f>IF(AG95="","",IF(AG95&lt;=$D$3,"SÌ","NO"))</f>
        <v/>
      </c>
    </row>
    <row r="96">
      <c r="G96" s="2" t="inlineStr">
        <is>
          <t>Totale</t>
        </is>
      </c>
      <c r="H96" s="2">
        <f>SUM(H6:H95)</f>
        <v/>
      </c>
      <c r="I96" s="2">
        <f>SUM(I6:I95)</f>
        <v/>
      </c>
      <c r="T96" s="2">
        <f>SUM(T6:T95)</f>
        <v/>
      </c>
      <c r="U96" s="2">
        <f>SUM(U6:U95)</f>
        <v/>
      </c>
      <c r="Y96" s="9">
        <f>SUM(Y6:Y95)</f>
        <v/>
      </c>
    </row>
  </sheetData>
  <hyperlinks>
    <hyperlink xmlns:r="http://schemas.openxmlformats.org/officeDocument/2006/relationships" ref="AD6" r:id="rId1"/>
    <hyperlink xmlns:r="http://schemas.openxmlformats.org/officeDocument/2006/relationships" ref="AD7" r:id="rId2"/>
    <hyperlink xmlns:r="http://schemas.openxmlformats.org/officeDocument/2006/relationships" ref="AD8" r:id="rId3"/>
    <hyperlink xmlns:r="http://schemas.openxmlformats.org/officeDocument/2006/relationships" ref="AD9" r:id="rId4"/>
    <hyperlink xmlns:r="http://schemas.openxmlformats.org/officeDocument/2006/relationships" ref="AD10" r:id="rId5"/>
    <hyperlink xmlns:r="http://schemas.openxmlformats.org/officeDocument/2006/relationships" ref="AD11" r:id="rId6"/>
    <hyperlink xmlns:r="http://schemas.openxmlformats.org/officeDocument/2006/relationships" ref="AD12" r:id="rId7"/>
    <hyperlink xmlns:r="http://schemas.openxmlformats.org/officeDocument/2006/relationships" ref="AD13" r:id="rId8"/>
    <hyperlink xmlns:r="http://schemas.openxmlformats.org/officeDocument/2006/relationships" ref="AD14" r:id="rId9"/>
    <hyperlink xmlns:r="http://schemas.openxmlformats.org/officeDocument/2006/relationships" ref="AD15" r:id="rId10"/>
    <hyperlink xmlns:r="http://schemas.openxmlformats.org/officeDocument/2006/relationships" ref="AD16" r:id="rId11"/>
    <hyperlink xmlns:r="http://schemas.openxmlformats.org/officeDocument/2006/relationships" ref="AD17" r:id="rId12"/>
    <hyperlink xmlns:r="http://schemas.openxmlformats.org/officeDocument/2006/relationships" ref="AD18" r:id="rId13"/>
    <hyperlink xmlns:r="http://schemas.openxmlformats.org/officeDocument/2006/relationships" ref="AD19" r:id="rId14"/>
    <hyperlink xmlns:r="http://schemas.openxmlformats.org/officeDocument/2006/relationships" ref="AD20" r:id="rId15"/>
    <hyperlink xmlns:r="http://schemas.openxmlformats.org/officeDocument/2006/relationships" ref="AD21" r:id="rId16"/>
    <hyperlink xmlns:r="http://schemas.openxmlformats.org/officeDocument/2006/relationships" ref="AD22" r:id="rId17"/>
    <hyperlink xmlns:r="http://schemas.openxmlformats.org/officeDocument/2006/relationships" ref="AD23" r:id="rId18"/>
    <hyperlink xmlns:r="http://schemas.openxmlformats.org/officeDocument/2006/relationships" ref="AD24" r:id="rId19"/>
    <hyperlink xmlns:r="http://schemas.openxmlformats.org/officeDocument/2006/relationships" ref="AD25" r:id="rId20"/>
    <hyperlink xmlns:r="http://schemas.openxmlformats.org/officeDocument/2006/relationships" ref="AD26" r:id="rId21"/>
    <hyperlink xmlns:r="http://schemas.openxmlformats.org/officeDocument/2006/relationships" ref="AD27" r:id="rId22"/>
    <hyperlink xmlns:r="http://schemas.openxmlformats.org/officeDocument/2006/relationships" ref="AD28" r:id="rId23"/>
    <hyperlink xmlns:r="http://schemas.openxmlformats.org/officeDocument/2006/relationships" ref="AD29" r:id="rId24"/>
    <hyperlink xmlns:r="http://schemas.openxmlformats.org/officeDocument/2006/relationships" ref="AD30" r:id="rId25"/>
    <hyperlink xmlns:r="http://schemas.openxmlformats.org/officeDocument/2006/relationships" ref="AD31" r:id="rId26"/>
    <hyperlink xmlns:r="http://schemas.openxmlformats.org/officeDocument/2006/relationships" ref="AD32" r:id="rId27"/>
    <hyperlink xmlns:r="http://schemas.openxmlformats.org/officeDocument/2006/relationships" ref="AD33" r:id="rId28"/>
    <hyperlink xmlns:r="http://schemas.openxmlformats.org/officeDocument/2006/relationships" ref="AD34" r:id="rId29"/>
    <hyperlink xmlns:r="http://schemas.openxmlformats.org/officeDocument/2006/relationships" ref="AD35" r:id="rId30"/>
    <hyperlink xmlns:r="http://schemas.openxmlformats.org/officeDocument/2006/relationships" ref="AD36" r:id="rId31"/>
    <hyperlink xmlns:r="http://schemas.openxmlformats.org/officeDocument/2006/relationships" ref="AD37" r:id="rId32"/>
    <hyperlink xmlns:r="http://schemas.openxmlformats.org/officeDocument/2006/relationships" ref="AD38" r:id="rId33"/>
    <hyperlink xmlns:r="http://schemas.openxmlformats.org/officeDocument/2006/relationships" ref="AD39" r:id="rId34"/>
    <hyperlink xmlns:r="http://schemas.openxmlformats.org/officeDocument/2006/relationships" ref="AD40" r:id="rId35"/>
    <hyperlink xmlns:r="http://schemas.openxmlformats.org/officeDocument/2006/relationships" ref="AD41" r:id="rId36"/>
    <hyperlink xmlns:r="http://schemas.openxmlformats.org/officeDocument/2006/relationships" ref="AD42" r:id="rId37"/>
    <hyperlink xmlns:r="http://schemas.openxmlformats.org/officeDocument/2006/relationships" ref="AD43" r:id="rId38"/>
    <hyperlink xmlns:r="http://schemas.openxmlformats.org/officeDocument/2006/relationships" ref="AD44" r:id="rId39"/>
    <hyperlink xmlns:r="http://schemas.openxmlformats.org/officeDocument/2006/relationships" ref="AD45" r:id="rId40"/>
    <hyperlink xmlns:r="http://schemas.openxmlformats.org/officeDocument/2006/relationships" ref="AD46" r:id="rId41"/>
    <hyperlink xmlns:r="http://schemas.openxmlformats.org/officeDocument/2006/relationships" ref="AD47" r:id="rId42"/>
    <hyperlink xmlns:r="http://schemas.openxmlformats.org/officeDocument/2006/relationships" ref="AD48" r:id="rId43"/>
    <hyperlink xmlns:r="http://schemas.openxmlformats.org/officeDocument/2006/relationships" ref="AD49" r:id="rId44"/>
    <hyperlink xmlns:r="http://schemas.openxmlformats.org/officeDocument/2006/relationships" ref="AD50" r:id="rId45"/>
    <hyperlink xmlns:r="http://schemas.openxmlformats.org/officeDocument/2006/relationships" ref="AD51" r:id="rId46"/>
    <hyperlink xmlns:r="http://schemas.openxmlformats.org/officeDocument/2006/relationships" ref="AD52" r:id="rId47"/>
    <hyperlink xmlns:r="http://schemas.openxmlformats.org/officeDocument/2006/relationships" ref="AD53" r:id="rId48"/>
    <hyperlink xmlns:r="http://schemas.openxmlformats.org/officeDocument/2006/relationships" ref="AD54" r:id="rId49"/>
    <hyperlink xmlns:r="http://schemas.openxmlformats.org/officeDocument/2006/relationships" ref="AD55" r:id="rId50"/>
    <hyperlink xmlns:r="http://schemas.openxmlformats.org/officeDocument/2006/relationships" ref="AD56" r:id="rId51"/>
    <hyperlink xmlns:r="http://schemas.openxmlformats.org/officeDocument/2006/relationships" ref="AD57" r:id="rId52"/>
    <hyperlink xmlns:r="http://schemas.openxmlformats.org/officeDocument/2006/relationships" ref="AD58" r:id="rId53"/>
    <hyperlink xmlns:r="http://schemas.openxmlformats.org/officeDocument/2006/relationships" ref="AD59" r:id="rId54"/>
    <hyperlink xmlns:r="http://schemas.openxmlformats.org/officeDocument/2006/relationships" ref="AD60" r:id="rId55"/>
    <hyperlink xmlns:r="http://schemas.openxmlformats.org/officeDocument/2006/relationships" ref="AD61" r:id="rId56"/>
    <hyperlink xmlns:r="http://schemas.openxmlformats.org/officeDocument/2006/relationships" ref="AD62" r:id="rId57"/>
    <hyperlink xmlns:r="http://schemas.openxmlformats.org/officeDocument/2006/relationships" ref="AD63" r:id="rId58"/>
    <hyperlink xmlns:r="http://schemas.openxmlformats.org/officeDocument/2006/relationships" ref="AD64" r:id="rId59"/>
    <hyperlink xmlns:r="http://schemas.openxmlformats.org/officeDocument/2006/relationships" ref="AD65" r:id="rId60"/>
    <hyperlink xmlns:r="http://schemas.openxmlformats.org/officeDocument/2006/relationships" ref="AD66" r:id="rId61"/>
    <hyperlink xmlns:r="http://schemas.openxmlformats.org/officeDocument/2006/relationships" ref="AD67" r:id="rId62"/>
    <hyperlink xmlns:r="http://schemas.openxmlformats.org/officeDocument/2006/relationships" ref="AD68" r:id="rId63"/>
    <hyperlink xmlns:r="http://schemas.openxmlformats.org/officeDocument/2006/relationships" ref="AD69" r:id="rId64"/>
    <hyperlink xmlns:r="http://schemas.openxmlformats.org/officeDocument/2006/relationships" ref="AD70" r:id="rId65"/>
    <hyperlink xmlns:r="http://schemas.openxmlformats.org/officeDocument/2006/relationships" ref="AD71" r:id="rId66"/>
    <hyperlink xmlns:r="http://schemas.openxmlformats.org/officeDocument/2006/relationships" ref="AD72" r:id="rId67"/>
    <hyperlink xmlns:r="http://schemas.openxmlformats.org/officeDocument/2006/relationships" ref="AD73" r:id="rId68"/>
    <hyperlink xmlns:r="http://schemas.openxmlformats.org/officeDocument/2006/relationships" ref="AD74" r:id="rId69"/>
    <hyperlink xmlns:r="http://schemas.openxmlformats.org/officeDocument/2006/relationships" ref="AD75" r:id="rId70"/>
    <hyperlink xmlns:r="http://schemas.openxmlformats.org/officeDocument/2006/relationships" ref="AD76" r:id="rId71"/>
    <hyperlink xmlns:r="http://schemas.openxmlformats.org/officeDocument/2006/relationships" ref="AD77" r:id="rId72"/>
    <hyperlink xmlns:r="http://schemas.openxmlformats.org/officeDocument/2006/relationships" ref="AD78" r:id="rId73"/>
    <hyperlink xmlns:r="http://schemas.openxmlformats.org/officeDocument/2006/relationships" ref="AD79" r:id="rId74"/>
    <hyperlink xmlns:r="http://schemas.openxmlformats.org/officeDocument/2006/relationships" ref="AD80" r:id="rId75"/>
    <hyperlink xmlns:r="http://schemas.openxmlformats.org/officeDocument/2006/relationships" ref="AD81" r:id="rId76"/>
    <hyperlink xmlns:r="http://schemas.openxmlformats.org/officeDocument/2006/relationships" ref="AD82" r:id="rId77"/>
    <hyperlink xmlns:r="http://schemas.openxmlformats.org/officeDocument/2006/relationships" ref="AD83" r:id="rId78"/>
    <hyperlink xmlns:r="http://schemas.openxmlformats.org/officeDocument/2006/relationships" ref="AD84" r:id="rId79"/>
    <hyperlink xmlns:r="http://schemas.openxmlformats.org/officeDocument/2006/relationships" ref="AD85" r:id="rId80"/>
    <hyperlink xmlns:r="http://schemas.openxmlformats.org/officeDocument/2006/relationships" ref="AD86" r:id="rId81"/>
    <hyperlink xmlns:r="http://schemas.openxmlformats.org/officeDocument/2006/relationships" ref="AD87" r:id="rId82"/>
    <hyperlink xmlns:r="http://schemas.openxmlformats.org/officeDocument/2006/relationships" ref="AD88" r:id="rId83"/>
    <hyperlink xmlns:r="http://schemas.openxmlformats.org/officeDocument/2006/relationships" ref="AD89" r:id="rId84"/>
    <hyperlink xmlns:r="http://schemas.openxmlformats.org/officeDocument/2006/relationships" ref="AD90" r:id="rId85"/>
    <hyperlink xmlns:r="http://schemas.openxmlformats.org/officeDocument/2006/relationships" ref="AD91" r:id="rId86"/>
    <hyperlink xmlns:r="http://schemas.openxmlformats.org/officeDocument/2006/relationships" ref="AD92" r:id="rId87"/>
    <hyperlink xmlns:r="http://schemas.openxmlformats.org/officeDocument/2006/relationships" ref="AD93" r:id="rId88"/>
    <hyperlink xmlns:r="http://schemas.openxmlformats.org/officeDocument/2006/relationships" ref="AD94" r:id="rId89"/>
    <hyperlink xmlns:r="http://schemas.openxmlformats.org/officeDocument/2006/relationships" ref="AD95" r:id="rId9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2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8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45" customWidth="1" min="31" max="31"/>
    <col width="16" customWidth="1" min="32" max="32"/>
    <col width="16" customWidth="1" min="33" max="33"/>
    <col width="16" customWidth="1" min="34" max="34"/>
  </cols>
  <sheetData>
    <row r="1">
      <c r="A1" s="1" t="inlineStr">
        <is>
          <t>26 lotti in Riserva Periurbana (&lt;250m da aree produttive/residenziali o polo Le Mose)</t>
        </is>
      </c>
    </row>
    <row r="2">
      <c r="A2" t="inlineStr">
        <is>
          <t>Criteri: particelle agricole &gt;= 2 ha entro 300 m dall'asse di A1 o A21 (provincia di Piacenza), senza fabbricati, verificate su WMS Catasto Agenzia delle Entrate + Rete AT/MT ARERA/GSE &amp; OpenStreetMap + PVGIS JRC + VAM 2026.</t>
        </is>
      </c>
    </row>
    <row r="3">
      <c r="A3" s="2" t="inlineStr">
        <is>
          <t>Prezzo massimo (€/mq)</t>
        </is>
      </c>
      <c r="D3" s="3" t="n">
        <v>8</v>
      </c>
    </row>
    <row r="5">
      <c r="A5" s="4" t="inlineStr">
        <is>
          <t>#</t>
        </is>
      </c>
      <c r="B5" s="4" t="inlineStr">
        <is>
          <t>Origine / Coorte</t>
        </is>
      </c>
      <c r="C5" s="4" t="inlineStr">
        <is>
          <t>Priorità Visura</t>
        </is>
      </c>
      <c r="D5" s="4" t="inlineStr">
        <is>
          <t>Comune</t>
        </is>
      </c>
      <c r="E5" s="4" t="inlineStr">
        <is>
          <t>Belfiore</t>
        </is>
      </c>
      <c r="F5" s="4" t="inlineStr">
        <is>
          <t>Foglio</t>
        </is>
      </c>
      <c r="G5" s="4" t="inlineStr">
        <is>
          <t>Particella</t>
        </is>
      </c>
      <c r="H5" s="4" t="inlineStr">
        <is>
          <t>Sup. stimata (ha)</t>
        </is>
      </c>
      <c r="I5" s="4" t="inlineStr">
        <is>
          <t>di cui entro 300 m (ha)</t>
        </is>
      </c>
      <c r="J5" s="4" t="inlineStr">
        <is>
          <t>Autostrada</t>
        </is>
      </c>
      <c r="K5" s="4" t="inlineStr">
        <is>
          <t>Distanza min. asse (m)</t>
        </is>
      </c>
      <c r="L5" s="4" t="inlineStr">
        <is>
          <t>Linea AT più vicina (m)</t>
        </is>
      </c>
      <c r="M5" s="4" t="inlineStr">
        <is>
          <t>Tensione linea (kV)</t>
        </is>
      </c>
      <c r="N5" s="4" t="inlineStr">
        <is>
          <t>Stazione elettrica OSM</t>
        </is>
      </c>
      <c r="O5" s="4" t="inlineStr">
        <is>
          <t>kV stazione</t>
        </is>
      </c>
      <c r="P5" s="4" t="inlineStr">
        <is>
          <t>Distanza stazione (km)</t>
        </is>
      </c>
      <c r="Q5" s="4" t="inlineStr">
        <is>
          <t>Cabina Primaria ARERA/GSE</t>
        </is>
      </c>
      <c r="R5" s="4" t="inlineStr">
        <is>
          <t>Cavidotto MT 1.30x (m)</t>
        </is>
      </c>
      <c r="S5" s="4" t="inlineStr">
        <is>
          <t>CAPEX Allaccio TICA (€)</t>
        </is>
      </c>
      <c r="T5" s="4" t="inlineStr">
        <is>
          <t>Potenza (MWp tot)</t>
        </is>
      </c>
      <c r="U5" s="4" t="inlineStr">
        <is>
          <t>Potenza ≤300m (MWp)</t>
        </is>
      </c>
      <c r="V5" s="4" t="inlineStr">
        <is>
          <t>Producibilità Tracker (MWh/a)</t>
        </is>
      </c>
      <c r="W5" s="4" t="inlineStr">
        <is>
          <t>VAM 2026 (€/mq)</t>
        </is>
      </c>
      <c r="X5" s="4" t="inlineStr">
        <is>
          <t>Target SunPro (€/mq)</t>
        </is>
      </c>
      <c r="Y5" s="4" t="inlineStr">
        <is>
          <t>Spesa max a soglia (€)</t>
        </is>
      </c>
      <c r="Z5" s="4" t="inlineStr">
        <is>
          <t>Canone DDS 30y (€/anno)</t>
        </is>
      </c>
      <c r="AA5" s="4" t="inlineStr">
        <is>
          <t>Score SunPro</t>
        </is>
      </c>
      <c r="AB5" s="4" t="inlineStr">
        <is>
          <t>Lat</t>
        </is>
      </c>
      <c r="AC5" s="4" t="inlineStr">
        <is>
          <t>Lon</t>
        </is>
      </c>
      <c r="AD5" s="4" t="inlineStr">
        <is>
          <t>Mappa / WMS</t>
        </is>
      </c>
      <c r="AE5" s="4" t="inlineStr">
        <is>
          <t>Note</t>
        </is>
      </c>
      <c r="AF5" s="4" t="inlineStr">
        <is>
          <t>Intestatario (da visura)</t>
        </is>
      </c>
      <c r="AG5" s="4" t="inlineStr">
        <is>
          <t>Prezzo richiesto (€/mq)</t>
        </is>
      </c>
      <c r="AH5" s="4" t="inlineStr">
        <is>
          <t>Entro soglia?</t>
        </is>
      </c>
    </row>
    <row r="6">
      <c r="A6" s="5" t="n">
        <v>1</v>
      </c>
      <c r="B6" s="5" t="inlineStr">
        <is>
          <t>Riserva Periurbana (&lt;250m Z.I./Res.)</t>
        </is>
      </c>
      <c r="C6" s="5" t="inlineStr">
        <is>
          <t>⚠️ Riserva Periurbana (Verifica PRG/Prezzo)</t>
        </is>
      </c>
      <c r="D6" s="5" t="inlineStr">
        <is>
          <t>Piacenza</t>
        </is>
      </c>
      <c r="E6" s="5" t="inlineStr">
        <is>
          <t>G535</t>
        </is>
      </c>
      <c r="F6" s="5" t="n">
        <v>26</v>
      </c>
      <c r="G6" s="5" t="n">
        <v>232</v>
      </c>
      <c r="H6" s="5" t="n">
        <v>11.91</v>
      </c>
      <c r="I6" s="5" t="n">
        <v>9.359999999999999</v>
      </c>
      <c r="J6" s="5" t="inlineStr">
        <is>
          <t>A21</t>
        </is>
      </c>
      <c r="K6" s="5" t="n">
        <v>15</v>
      </c>
      <c r="L6" s="5" t="n">
        <v>73</v>
      </c>
      <c r="M6" s="5" t="n">
        <v>132</v>
      </c>
      <c r="N6" s="5" t="inlineStr">
        <is>
          <t>(senza nome)</t>
        </is>
      </c>
      <c r="O6" s="5" t="n">
        <v>132</v>
      </c>
      <c r="P6" s="5" t="n">
        <v>2</v>
      </c>
      <c r="Q6" s="5" t="inlineStr">
        <is>
          <t>CP Piacenza (AC001E01168)</t>
        </is>
      </c>
      <c r="R6" s="5" t="n">
        <v>2600</v>
      </c>
      <c r="S6" s="5" t="n">
        <v>214000</v>
      </c>
      <c r="T6" s="5" t="n">
        <v>9.93</v>
      </c>
      <c r="U6" s="5" t="n">
        <v>7.8</v>
      </c>
      <c r="V6" s="5" t="n">
        <v>15816</v>
      </c>
      <c r="W6" s="5" t="n">
        <v>5.65</v>
      </c>
      <c r="X6" s="5" t="n">
        <v>8.5</v>
      </c>
      <c r="Y6" s="6">
        <f>H6*10000*$D$3</f>
        <v/>
      </c>
      <c r="Z6" s="5" t="n">
        <v>35730</v>
      </c>
      <c r="AA6" s="5" t="n">
        <v>76.5</v>
      </c>
      <c r="AB6" s="5" t="n">
        <v>45.048762</v>
      </c>
      <c r="AC6" s="5" t="n">
        <v>9.760785</v>
      </c>
      <c r="AD6" s="7" t="inlineStr">
        <is>
          <t>Apri Ortofoto</t>
        </is>
      </c>
      <c r="AE6" s="5" t="inlineStr">
        <is>
          <t>Linea AT 132 kV a ~73 m; Area residenziale a ~375 m: verificare la destinazione urbanistica; 2,6 ha oltre i 300 m</t>
        </is>
      </c>
      <c r="AF6" s="8" t="n"/>
      <c r="AG6" s="8" t="n"/>
      <c r="AH6" s="5">
        <f>IF(AG6="","",IF(AG6&lt;=$D$3,"SÌ","NO"))</f>
        <v/>
      </c>
    </row>
    <row r="7">
      <c r="A7" s="5" t="n">
        <v>2</v>
      </c>
      <c r="B7" s="5" t="inlineStr">
        <is>
          <t>Riserva Periurbana (&lt;250m Z.I./Res.)</t>
        </is>
      </c>
      <c r="C7" s="5" t="inlineStr">
        <is>
          <t>⚠️ Riserva Periurbana (Verifica PRG/Prezzo)</t>
        </is>
      </c>
      <c r="D7" s="5" t="inlineStr">
        <is>
          <t>Piacenza</t>
        </is>
      </c>
      <c r="E7" s="5" t="inlineStr">
        <is>
          <t>G535</t>
        </is>
      </c>
      <c r="F7" s="5" t="n">
        <v>24</v>
      </c>
      <c r="G7" s="5" t="n">
        <v>982</v>
      </c>
      <c r="H7" s="5" t="n">
        <v>9.17</v>
      </c>
      <c r="I7" s="5" t="n">
        <v>7.73</v>
      </c>
      <c r="J7" s="5" t="inlineStr">
        <is>
          <t>A1</t>
        </is>
      </c>
      <c r="K7" s="5" t="n">
        <v>107</v>
      </c>
      <c r="L7" s="5" t="n">
        <v>155</v>
      </c>
      <c r="M7" s="5" t="n">
        <v>380</v>
      </c>
      <c r="N7" s="5" t="inlineStr">
        <is>
          <t>Tecnoborgo</t>
        </is>
      </c>
      <c r="O7" s="5" t="n">
        <v>132</v>
      </c>
      <c r="P7" s="5" t="n">
        <v>0.5</v>
      </c>
      <c r="Q7" s="5" t="inlineStr">
        <is>
          <t>CP Piacenza (AC001E01168)</t>
        </is>
      </c>
      <c r="R7" s="5" t="n">
        <v>650</v>
      </c>
      <c r="S7" s="5" t="n">
        <v>87250</v>
      </c>
      <c r="T7" s="5" t="n">
        <v>7.64</v>
      </c>
      <c r="U7" s="5" t="n">
        <v>6.44</v>
      </c>
      <c r="V7" s="5" t="n">
        <v>12168</v>
      </c>
      <c r="W7" s="5" t="n">
        <v>5.65</v>
      </c>
      <c r="X7" s="5" t="n">
        <v>8.5</v>
      </c>
      <c r="Y7" s="6">
        <f>H7*10000*$D$3</f>
        <v/>
      </c>
      <c r="Z7" s="5" t="n">
        <v>27510</v>
      </c>
      <c r="AA7" s="5" t="n">
        <v>84.5</v>
      </c>
      <c r="AB7" s="5" t="n">
        <v>45.055242</v>
      </c>
      <c r="AC7" s="5" t="n">
        <v>9.737135</v>
      </c>
      <c r="AD7" s="7" t="inlineStr">
        <is>
          <t>Apri Ortofoto</t>
        </is>
      </c>
      <c r="AE7" s="5" t="inlineStr">
        <is>
          <t>Linea AT 380 kV a ~155 m; Stazione elettrica Tecnoborgo a ~0,5 km; Area produttiva a ~226 m: verificare la destinazione urbanistica; 1,4 ha oltre i 300 m</t>
        </is>
      </c>
      <c r="AF7" s="8" t="n"/>
      <c r="AG7" s="8" t="n"/>
      <c r="AH7" s="5">
        <f>IF(AG7="","",IF(AG7&lt;=$D$3,"SÌ","NO"))</f>
        <v/>
      </c>
    </row>
    <row r="8">
      <c r="A8" s="5" t="n">
        <v>3</v>
      </c>
      <c r="B8" s="5" t="inlineStr">
        <is>
          <t>Riserva Periurbana (&lt;250m Z.I./Res.)</t>
        </is>
      </c>
      <c r="C8" s="5" t="inlineStr">
        <is>
          <t>⚠️ Riserva Periurbana (Verifica PRG/Prezzo)</t>
        </is>
      </c>
      <c r="D8" s="5" t="inlineStr">
        <is>
          <t>Pontenure</t>
        </is>
      </c>
      <c r="E8" s="5" t="inlineStr">
        <is>
          <t>G852</t>
        </is>
      </c>
      <c r="F8" s="5" t="n">
        <v>13</v>
      </c>
      <c r="G8" s="5" t="n">
        <v>28</v>
      </c>
      <c r="H8" s="5" t="n">
        <v>7.58</v>
      </c>
      <c r="I8" s="5" t="n">
        <v>7.58</v>
      </c>
      <c r="J8" s="5" t="inlineStr">
        <is>
          <t>A1</t>
        </is>
      </c>
      <c r="K8" s="5" t="n">
        <v>17</v>
      </c>
      <c r="L8" s="5" t="n">
        <v>202</v>
      </c>
      <c r="M8" s="5" t="n">
        <v>132</v>
      </c>
      <c r="N8" s="5" t="inlineStr">
        <is>
          <t>(senza nome)</t>
        </is>
      </c>
      <c r="O8" s="5" t="n">
        <v>132</v>
      </c>
      <c r="P8" s="5" t="n">
        <v>4.1</v>
      </c>
      <c r="Q8" s="5" t="inlineStr">
        <is>
          <t>CP Pontenure 132/15 kV</t>
        </is>
      </c>
      <c r="R8" s="5" t="n">
        <v>3965</v>
      </c>
      <c r="S8" s="5" t="n">
        <v>302725</v>
      </c>
      <c r="T8" s="5" t="n">
        <v>6.32</v>
      </c>
      <c r="U8" s="5" t="n">
        <v>6.32</v>
      </c>
      <c r="V8" s="5" t="n">
        <v>10066</v>
      </c>
      <c r="W8" s="5" t="n">
        <v>5.85</v>
      </c>
      <c r="X8" s="5" t="n">
        <v>8.5</v>
      </c>
      <c r="Y8" s="6">
        <f>H8*10000*$D$3</f>
        <v/>
      </c>
      <c r="Z8" s="5" t="n">
        <v>22740</v>
      </c>
      <c r="AA8" s="5" t="n">
        <v>71</v>
      </c>
      <c r="AB8" s="5" t="n">
        <v>45.000605</v>
      </c>
      <c r="AC8" s="5" t="n">
        <v>9.809872</v>
      </c>
      <c r="AD8" s="7" t="inlineStr">
        <is>
          <t>Apri Ortofoto</t>
        </is>
      </c>
      <c r="AE8" s="5" t="inlineStr">
        <is>
          <t>Linea AT 132 kV a ~202 m; Area produttiva a ~247 m: verificare la destinazione urbanistica</t>
        </is>
      </c>
      <c r="AF8" s="8" t="n"/>
      <c r="AG8" s="8" t="n"/>
      <c r="AH8" s="5">
        <f>IF(AG8="","",IF(AG8&lt;=$D$3,"SÌ","NO"))</f>
        <v/>
      </c>
    </row>
    <row r="9">
      <c r="A9" s="5" t="n">
        <v>4</v>
      </c>
      <c r="B9" s="5" t="inlineStr">
        <is>
          <t>Riserva Periurbana (&lt;250m Z.I./Res.)</t>
        </is>
      </c>
      <c r="C9" s="5" t="inlineStr">
        <is>
          <t>⚠️ Riserva Periurbana (Verifica PRG/Prezzo)</t>
        </is>
      </c>
      <c r="D9" s="5" t="inlineStr">
        <is>
          <t>Caorso</t>
        </is>
      </c>
      <c r="E9" s="5" t="inlineStr">
        <is>
          <t>B643</t>
        </is>
      </c>
      <c r="F9" s="5" t="n">
        <v>18</v>
      </c>
      <c r="G9" s="5" t="n">
        <v>109</v>
      </c>
      <c r="H9" s="5" t="n">
        <v>7.58</v>
      </c>
      <c r="I9" s="5" t="n">
        <v>7.46</v>
      </c>
      <c r="J9" s="5" t="inlineStr">
        <is>
          <t>A21</t>
        </is>
      </c>
      <c r="K9" s="5" t="n">
        <v>14</v>
      </c>
      <c r="L9" s="5" t="n">
        <v>458</v>
      </c>
      <c r="M9" s="5" t="n">
        <v>132</v>
      </c>
      <c r="N9" s="5" t="inlineStr">
        <is>
          <t>(senza nome)</t>
        </is>
      </c>
      <c r="O9" s="5" t="n">
        <v>132</v>
      </c>
      <c r="P9" s="5" t="n">
        <v>4.4</v>
      </c>
      <c r="Q9" s="5" t="inlineStr">
        <is>
          <t>CP Pontenure (AC001E01166)</t>
        </is>
      </c>
      <c r="R9" s="5" t="n">
        <v>5720</v>
      </c>
      <c r="S9" s="5" t="n">
        <v>416800</v>
      </c>
      <c r="T9" s="5" t="n">
        <v>6.32</v>
      </c>
      <c r="U9" s="5" t="n">
        <v>6.22</v>
      </c>
      <c r="V9" s="5" t="n">
        <v>10066</v>
      </c>
      <c r="W9" s="5" t="n">
        <v>5.55</v>
      </c>
      <c r="X9" s="5" t="n">
        <v>8.5</v>
      </c>
      <c r="Y9" s="6">
        <f>H9*10000*$D$3</f>
        <v/>
      </c>
      <c r="Z9" s="5" t="n">
        <v>22740</v>
      </c>
      <c r="AA9" s="5" t="n">
        <v>67</v>
      </c>
      <c r="AB9" s="5" t="n">
        <v>45.043973</v>
      </c>
      <c r="AC9" s="5" t="n">
        <v>9.824945</v>
      </c>
      <c r="AD9" s="7" t="inlineStr">
        <is>
          <t>Apri Ortofoto</t>
        </is>
      </c>
      <c r="AE9" s="5" t="inlineStr">
        <is>
          <t>Area produttiva a ~6 m: verificare la destinazione urbanistica</t>
        </is>
      </c>
      <c r="AF9" s="8" t="n"/>
      <c r="AG9" s="8" t="n"/>
      <c r="AH9" s="5">
        <f>IF(AG9="","",IF(AG9&lt;=$D$3,"SÌ","NO"))</f>
        <v/>
      </c>
    </row>
    <row r="10">
      <c r="A10" s="5" t="n">
        <v>5</v>
      </c>
      <c r="B10" s="5" t="inlineStr">
        <is>
          <t>Riserva Periurbana (&lt;250m Z.I./Res.)</t>
        </is>
      </c>
      <c r="C10" s="5" t="inlineStr">
        <is>
          <t>⚠️ Riserva Periurbana (Verifica PRG/Prezzo)</t>
        </is>
      </c>
      <c r="D10" s="5" t="inlineStr">
        <is>
          <t>Caorso</t>
        </is>
      </c>
      <c r="E10" s="5" t="inlineStr">
        <is>
          <t>B643</t>
        </is>
      </c>
      <c r="F10" s="5" t="n">
        <v>18</v>
      </c>
      <c r="G10" s="5" t="n">
        <v>69</v>
      </c>
      <c r="H10" s="5" t="n">
        <v>12.19</v>
      </c>
      <c r="I10" s="5" t="n">
        <v>7.21</v>
      </c>
      <c r="J10" s="5" t="inlineStr">
        <is>
          <t>A21</t>
        </is>
      </c>
      <c r="K10" s="5" t="n">
        <v>19</v>
      </c>
      <c r="L10" s="5" t="n">
        <v>1113</v>
      </c>
      <c r="M10" s="5" t="n">
        <v>132</v>
      </c>
      <c r="N10" s="5" t="inlineStr">
        <is>
          <t>Caorso</t>
        </is>
      </c>
      <c r="O10" s="5" t="n">
        <v>380</v>
      </c>
      <c r="P10" s="5" t="n">
        <v>3.9</v>
      </c>
      <c r="Q10" s="5" t="inlineStr">
        <is>
          <t>CP Pontenure (AC001E01166)</t>
        </is>
      </c>
      <c r="R10" s="5" t="n">
        <v>5070</v>
      </c>
      <c r="S10" s="5" t="n">
        <v>374550</v>
      </c>
      <c r="T10" s="5" t="n">
        <v>10.16</v>
      </c>
      <c r="U10" s="5" t="n">
        <v>6.01</v>
      </c>
      <c r="V10" s="5" t="n">
        <v>16182</v>
      </c>
      <c r="W10" s="5" t="n">
        <v>5.55</v>
      </c>
      <c r="X10" s="5" t="n">
        <v>8.5</v>
      </c>
      <c r="Y10" s="6">
        <f>H10*10000*$D$3</f>
        <v/>
      </c>
      <c r="Z10" s="5" t="n">
        <v>36570</v>
      </c>
      <c r="AA10" s="5" t="n">
        <v>67.5</v>
      </c>
      <c r="AB10" s="5" t="n">
        <v>45.043184</v>
      </c>
      <c r="AC10" s="5" t="n">
        <v>9.838266000000001</v>
      </c>
      <c r="AD10" s="7" t="inlineStr">
        <is>
          <t>Apri Ortofoto</t>
        </is>
      </c>
      <c r="AE10" s="5" t="inlineStr">
        <is>
          <t>Area produttiva a ~221 m: verificare la destinazione urbanistica; 5,0 ha oltre i 300 m</t>
        </is>
      </c>
      <c r="AF10" s="8" t="n"/>
      <c r="AG10" s="8" t="n"/>
      <c r="AH10" s="5">
        <f>IF(AG10="","",IF(AG10&lt;=$D$3,"SÌ","NO"))</f>
        <v/>
      </c>
    </row>
    <row r="11">
      <c r="A11" s="5" t="n">
        <v>6</v>
      </c>
      <c r="B11" s="5" t="inlineStr">
        <is>
          <t>Riserva Periurbana (&lt;250m Z.I./Res.)</t>
        </is>
      </c>
      <c r="C11" s="5" t="inlineStr">
        <is>
          <t>⚠️ Riserva Periurbana (Verifica PRG/Prezzo)</t>
        </is>
      </c>
      <c r="D11" s="5" t="inlineStr">
        <is>
          <t>Piacenza</t>
        </is>
      </c>
      <c r="E11" s="5" t="inlineStr">
        <is>
          <t>G535</t>
        </is>
      </c>
      <c r="F11" s="5" t="n">
        <v>27</v>
      </c>
      <c r="G11" s="5" t="n">
        <v>1108</v>
      </c>
      <c r="H11" s="5" t="n">
        <v>8.779999999999999</v>
      </c>
      <c r="I11" s="5" t="n">
        <v>7.16</v>
      </c>
      <c r="J11" s="5" t="inlineStr">
        <is>
          <t>A21</t>
        </is>
      </c>
      <c r="K11" s="5" t="n">
        <v>16</v>
      </c>
      <c r="L11" s="5" t="n">
        <v>3</v>
      </c>
      <c r="M11" s="5" t="n">
        <v>132</v>
      </c>
      <c r="N11" s="5" t="inlineStr">
        <is>
          <t>(senza nome)</t>
        </is>
      </c>
      <c r="O11" s="5" t="n">
        <v>132</v>
      </c>
      <c r="P11" s="5" t="n">
        <v>2.3</v>
      </c>
      <c r="Q11" s="5" t="inlineStr">
        <is>
          <t>CP Piacenza (AC001E01168)</t>
        </is>
      </c>
      <c r="R11" s="5" t="n">
        <v>2990</v>
      </c>
      <c r="S11" s="5" t="n">
        <v>239350</v>
      </c>
      <c r="T11" s="5" t="n">
        <v>7.32</v>
      </c>
      <c r="U11" s="5" t="n">
        <v>5.97</v>
      </c>
      <c r="V11" s="5" t="n">
        <v>11659</v>
      </c>
      <c r="W11" s="5" t="n">
        <v>5.65</v>
      </c>
      <c r="X11" s="5" t="n">
        <v>8.5</v>
      </c>
      <c r="Y11" s="6">
        <f>H11*10000*$D$3</f>
        <v/>
      </c>
      <c r="Z11" s="5" t="n">
        <v>26340</v>
      </c>
      <c r="AA11" s="5" t="n">
        <v>76</v>
      </c>
      <c r="AB11" s="5" t="n">
        <v>45.052295</v>
      </c>
      <c r="AC11" s="5" t="n">
        <v>9.76821</v>
      </c>
      <c r="AD11" s="7" t="inlineStr">
        <is>
          <t>Apri Ortofoto</t>
        </is>
      </c>
      <c r="AE11" s="5" t="inlineStr">
        <is>
          <t>Linea AT 132 kV sul fondo o al confine: condiziona il layout, ma la rete è vicina; 1,6 ha oltre i 300 m</t>
        </is>
      </c>
      <c r="AF11" s="8" t="n"/>
      <c r="AG11" s="8" t="n"/>
      <c r="AH11" s="5">
        <f>IF(AG11="","",IF(AG11&lt;=$D$3,"SÌ","NO"))</f>
        <v/>
      </c>
    </row>
    <row r="12">
      <c r="A12" s="5" t="n">
        <v>7</v>
      </c>
      <c r="B12" s="5" t="inlineStr">
        <is>
          <t>Riserva Periurbana (&lt;250m Z.I./Res.)</t>
        </is>
      </c>
      <c r="C12" s="5" t="inlineStr">
        <is>
          <t>⚠️ Riserva Periurbana (Verifica PRG/Prezzo)</t>
        </is>
      </c>
      <c r="D12" s="5" t="inlineStr">
        <is>
          <t>Monticelli d'Ongina</t>
        </is>
      </c>
      <c r="E12" s="5" t="inlineStr">
        <is>
          <t>F671</t>
        </is>
      </c>
      <c r="F12" s="5" t="n">
        <v>32</v>
      </c>
      <c r="G12" s="5" t="n">
        <v>8</v>
      </c>
      <c r="H12" s="5" t="n">
        <v>6.69</v>
      </c>
      <c r="I12" s="5" t="n">
        <v>6.69</v>
      </c>
      <c r="J12" s="5" t="inlineStr">
        <is>
          <t>A21</t>
        </is>
      </c>
      <c r="K12" s="5" t="n">
        <v>14</v>
      </c>
      <c r="L12" s="5" t="n">
        <v>237</v>
      </c>
      <c r="M12" s="5" t="n">
        <v>380</v>
      </c>
      <c r="N12" s="5" t="inlineStr">
        <is>
          <t>Monticelli Ferrovia</t>
        </is>
      </c>
      <c r="O12" s="5" t="n">
        <v>132</v>
      </c>
      <c r="P12" s="5" t="n">
        <v>2</v>
      </c>
      <c r="Q12" s="5" t="inlineStr">
        <is>
          <t>CP Monticelli d'Ongina (AC001E01173)</t>
        </is>
      </c>
      <c r="R12" s="5" t="n">
        <v>2600</v>
      </c>
      <c r="S12" s="5" t="n">
        <v>214000</v>
      </c>
      <c r="T12" s="5" t="n">
        <v>5.58</v>
      </c>
      <c r="U12" s="5" t="n">
        <v>5.58</v>
      </c>
      <c r="V12" s="5" t="n">
        <v>8887</v>
      </c>
      <c r="W12" s="5" t="n">
        <v>5.5</v>
      </c>
      <c r="X12" s="5" t="n">
        <v>8.5</v>
      </c>
      <c r="Y12" s="6">
        <f>H12*10000*$D$3</f>
        <v/>
      </c>
      <c r="Z12" s="5" t="n">
        <v>20070</v>
      </c>
      <c r="AA12" s="5" t="n">
        <v>76</v>
      </c>
      <c r="AB12" s="5" t="n">
        <v>45.060423</v>
      </c>
      <c r="AC12" s="5" t="n">
        <v>9.943987999999999</v>
      </c>
      <c r="AD12" s="7" t="inlineStr">
        <is>
          <t>Apri Ortofoto</t>
        </is>
      </c>
      <c r="AE12" s="5" t="inlineStr">
        <is>
          <t>Linea AT 380 kV a ~237 m; Area cantiere a ~140 m: verificare la destinazione urbanistica</t>
        </is>
      </c>
      <c r="AF12" s="8" t="n"/>
      <c r="AG12" s="8" t="n"/>
      <c r="AH12" s="5">
        <f>IF(AG12="","",IF(AG12&lt;=$D$3,"SÌ","NO"))</f>
        <v/>
      </c>
    </row>
    <row r="13">
      <c r="A13" s="5" t="n">
        <v>8</v>
      </c>
      <c r="B13" s="5" t="inlineStr">
        <is>
          <t>Riserva Periurbana (&lt;250m Z.I./Res.)</t>
        </is>
      </c>
      <c r="C13" s="5" t="inlineStr">
        <is>
          <t>⚠️ Riserva Periurbana (Verifica PRG/Prezzo)</t>
        </is>
      </c>
      <c r="D13" s="5" t="inlineStr">
        <is>
          <t>San Pietro in Cerro</t>
        </is>
      </c>
      <c r="E13" s="5" t="inlineStr">
        <is>
          <t>G788</t>
        </is>
      </c>
      <c r="F13" s="5" t="n">
        <v>2</v>
      </c>
      <c r="G13" s="5" t="n">
        <v>12</v>
      </c>
      <c r="H13" s="5" t="n">
        <v>10.16</v>
      </c>
      <c r="I13" s="5" t="n">
        <v>6.61</v>
      </c>
      <c r="J13" s="5" t="inlineStr">
        <is>
          <t>A21</t>
        </is>
      </c>
      <c r="K13" s="5" t="n">
        <v>41</v>
      </c>
      <c r="L13" s="5" t="n">
        <v>8</v>
      </c>
      <c r="M13" s="5" t="n">
        <v>132</v>
      </c>
      <c r="N13" s="5" t="inlineStr">
        <is>
          <t>Monticelli Ferrovia</t>
        </is>
      </c>
      <c r="O13" s="5" t="n">
        <v>132</v>
      </c>
      <c r="P13" s="5" t="n">
        <v>0.7</v>
      </c>
      <c r="Q13" s="5" t="inlineStr">
        <is>
          <t>CP Monticelli d'Ongina (AC001E01173)</t>
        </is>
      </c>
      <c r="R13" s="5" t="n">
        <v>910</v>
      </c>
      <c r="S13" s="5" t="n">
        <v>104150</v>
      </c>
      <c r="T13" s="5" t="n">
        <v>8.470000000000001</v>
      </c>
      <c r="U13" s="5" t="n">
        <v>5.51</v>
      </c>
      <c r="V13" s="5" t="n">
        <v>13490</v>
      </c>
      <c r="W13" s="5" t="n">
        <v>5.5</v>
      </c>
      <c r="X13" s="5" t="n">
        <v>8.5</v>
      </c>
      <c r="Y13" s="6">
        <f>H13*10000*$D$3</f>
        <v/>
      </c>
      <c r="Z13" s="5" t="n">
        <v>30480</v>
      </c>
      <c r="AA13" s="5" t="n">
        <v>84.5</v>
      </c>
      <c r="AB13" s="5" t="n">
        <v>45.05615</v>
      </c>
      <c r="AC13" s="5" t="n">
        <v>9.92301</v>
      </c>
      <c r="AD13" s="7" t="inlineStr">
        <is>
          <t>Apri Ortofoto</t>
        </is>
      </c>
      <c r="AE13" s="5" t="inlineStr">
        <is>
          <t>Linea AT 132 kV sul fondo o al confine: condiziona il layout, ma la rete è vicina; Stazione elettrica Monticelli Ferrovia a ~0,7 km; Area produttiva a ~230 m: verificare la destinazione urbanistica; 3,5 ha oltre i 300 m</t>
        </is>
      </c>
      <c r="AF13" s="8" t="n"/>
      <c r="AG13" s="8" t="n"/>
      <c r="AH13" s="5">
        <f>IF(AG13="","",IF(AG13&lt;=$D$3,"SÌ","NO"))</f>
        <v/>
      </c>
    </row>
    <row r="14">
      <c r="A14" s="5" t="n">
        <v>9</v>
      </c>
      <c r="B14" s="5" t="inlineStr">
        <is>
          <t>Riserva Periurbana (&lt;250m Z.I./Res.)</t>
        </is>
      </c>
      <c r="C14" s="5" t="inlineStr">
        <is>
          <t>⚠️ Riserva Periurbana (Verifica PRG/Prezzo)</t>
        </is>
      </c>
      <c r="D14" s="5" t="inlineStr">
        <is>
          <t>Piacenza</t>
        </is>
      </c>
      <c r="E14" s="5" t="inlineStr">
        <is>
          <t>G535</t>
        </is>
      </c>
      <c r="F14" s="5" t="n">
        <v>76</v>
      </c>
      <c r="G14" s="5" t="n">
        <v>14</v>
      </c>
      <c r="H14" s="5" t="n">
        <v>6.89</v>
      </c>
      <c r="I14" s="5" t="n">
        <v>6.57</v>
      </c>
      <c r="J14" s="5" t="inlineStr">
        <is>
          <t>A1</t>
        </is>
      </c>
      <c r="K14" s="5" t="n">
        <v>17</v>
      </c>
      <c r="L14" s="5" t="n">
        <v>153</v>
      </c>
      <c r="M14" s="5" t="n">
        <v>132</v>
      </c>
      <c r="N14" s="5" t="inlineStr">
        <is>
          <t>(senza nome)</t>
        </is>
      </c>
      <c r="O14" s="5" t="n">
        <v>132</v>
      </c>
      <c r="P14" s="5" t="n">
        <v>0.7</v>
      </c>
      <c r="Q14" s="5" t="inlineStr">
        <is>
          <t>CP Piacenza (AC001E01168)</t>
        </is>
      </c>
      <c r="R14" s="5" t="n">
        <v>910</v>
      </c>
      <c r="S14" s="5" t="n">
        <v>104150</v>
      </c>
      <c r="T14" s="5" t="n">
        <v>5.74</v>
      </c>
      <c r="U14" s="5" t="n">
        <v>5.48</v>
      </c>
      <c r="V14" s="5" t="n">
        <v>9142</v>
      </c>
      <c r="W14" s="5" t="n">
        <v>5.65</v>
      </c>
      <c r="X14" s="5" t="n">
        <v>8.5</v>
      </c>
      <c r="Y14" s="6">
        <f>H14*10000*$D$3</f>
        <v/>
      </c>
      <c r="Z14" s="5" t="n">
        <v>20670</v>
      </c>
      <c r="AA14" s="5" t="n">
        <v>84</v>
      </c>
      <c r="AB14" s="5" t="n">
        <v>45.037115</v>
      </c>
      <c r="AC14" s="5" t="n">
        <v>9.764968</v>
      </c>
      <c r="AD14" s="7" t="inlineStr">
        <is>
          <t>Apri Ortofoto</t>
        </is>
      </c>
      <c r="AE14" s="5" t="inlineStr">
        <is>
          <t>Linea AT 132 kV a ~153 m; Stazione elettrica a ~0,7 km; Area residenziale a ~212 m: verificare la destinazione urbanistica</t>
        </is>
      </c>
      <c r="AF14" s="8" t="n"/>
      <c r="AG14" s="8" t="n"/>
      <c r="AH14" s="5">
        <f>IF(AG14="","",IF(AG14&lt;=$D$3,"SÌ","NO"))</f>
        <v/>
      </c>
    </row>
    <row r="15">
      <c r="A15" s="5" t="n">
        <v>10</v>
      </c>
      <c r="B15" s="5" t="inlineStr">
        <is>
          <t>Riserva Periurbana (&lt;250m Z.I./Res.)</t>
        </is>
      </c>
      <c r="C15" s="5" t="inlineStr">
        <is>
          <t>⚠️ Riserva Periurbana (Verifica PRG/Prezzo)</t>
        </is>
      </c>
      <c r="D15" s="5" t="inlineStr">
        <is>
          <t>Piacenza</t>
        </is>
      </c>
      <c r="E15" s="5" t="inlineStr">
        <is>
          <t>G535</t>
        </is>
      </c>
      <c r="F15" s="5" t="n">
        <v>27</v>
      </c>
      <c r="G15" s="5" t="n">
        <v>32</v>
      </c>
      <c r="H15" s="5" t="n">
        <v>6.9</v>
      </c>
      <c r="I15" s="5" t="n">
        <v>6.53</v>
      </c>
      <c r="J15" s="5" t="inlineStr">
        <is>
          <t>A21</t>
        </is>
      </c>
      <c r="K15" s="5" t="n">
        <v>17</v>
      </c>
      <c r="L15" s="5" t="n">
        <v>97</v>
      </c>
      <c r="M15" s="5" t="n">
        <v>132</v>
      </c>
      <c r="N15" s="5" t="inlineStr">
        <is>
          <t>(senza nome)</t>
        </is>
      </c>
      <c r="O15" s="5" t="n">
        <v>132</v>
      </c>
      <c r="P15" s="5" t="n">
        <v>2.4</v>
      </c>
      <c r="Q15" s="5" t="inlineStr">
        <is>
          <t>CP Piacenza (AC001E01168)</t>
        </is>
      </c>
      <c r="R15" s="5" t="n">
        <v>3120</v>
      </c>
      <c r="S15" s="5" t="n">
        <v>247800</v>
      </c>
      <c r="T15" s="5" t="n">
        <v>5.75</v>
      </c>
      <c r="U15" s="5" t="n">
        <v>5.44</v>
      </c>
      <c r="V15" s="5" t="n">
        <v>9158</v>
      </c>
      <c r="W15" s="5" t="n">
        <v>5.65</v>
      </c>
      <c r="X15" s="5" t="n">
        <v>8.5</v>
      </c>
      <c r="Y15" s="6">
        <f>H15*10000*$D$3</f>
        <v/>
      </c>
      <c r="Z15" s="5" t="n">
        <v>20700</v>
      </c>
      <c r="AA15" s="5" t="n">
        <v>76</v>
      </c>
      <c r="AB15" s="5" t="n">
        <v>45.051189</v>
      </c>
      <c r="AC15" s="5" t="n">
        <v>9.783466000000001</v>
      </c>
      <c r="AD15" s="7" t="inlineStr">
        <is>
          <t>Apri Ortofoto</t>
        </is>
      </c>
      <c r="AE15" s="5" t="inlineStr">
        <is>
          <t>Linea AT 132 kV a ~97 m; Area residenziale a ~246 m: verificare la destinazione urbanistica</t>
        </is>
      </c>
      <c r="AF15" s="8" t="n"/>
      <c r="AG15" s="8" t="n"/>
      <c r="AH15" s="5">
        <f>IF(AG15="","",IF(AG15&lt;=$D$3,"SÌ","NO"))</f>
        <v/>
      </c>
    </row>
    <row r="16">
      <c r="A16" s="5" t="n">
        <v>11</v>
      </c>
      <c r="B16" s="5" t="inlineStr">
        <is>
          <t>Riserva Periurbana (&lt;250m Z.I./Res.)</t>
        </is>
      </c>
      <c r="C16" s="5" t="inlineStr">
        <is>
          <t>⚠️ Riserva Periurbana (Verifica PRG/Prezzo)</t>
        </is>
      </c>
      <c r="D16" s="5" t="inlineStr">
        <is>
          <t>Castelvetro Piacentino</t>
        </is>
      </c>
      <c r="E16" s="5" t="inlineStr">
        <is>
          <t>C288</t>
        </is>
      </c>
      <c r="F16" s="5" t="n">
        <v>24</v>
      </c>
      <c r="G16" s="5" t="n">
        <v>20</v>
      </c>
      <c r="H16" s="5" t="n">
        <v>6.42</v>
      </c>
      <c r="I16" s="5" t="n">
        <v>6.41</v>
      </c>
      <c r="J16" s="5" t="inlineStr">
        <is>
          <t>A21</t>
        </is>
      </c>
      <c r="K16" s="5" t="n">
        <v>11</v>
      </c>
      <c r="L16" s="5" t="n">
        <v>944</v>
      </c>
      <c r="M16" s="5" t="n">
        <v>380</v>
      </c>
      <c r="N16" s="5" t="inlineStr">
        <is>
          <t>Monticelli Ferrovia</t>
        </is>
      </c>
      <c r="O16" s="5" t="n">
        <v>132</v>
      </c>
      <c r="P16" s="5" t="n">
        <v>2.8</v>
      </c>
      <c r="Q16" s="5" t="inlineStr">
        <is>
          <t>CP Monticelli d'Ongina (AC001E01173)</t>
        </is>
      </c>
      <c r="R16" s="5" t="n">
        <v>3640</v>
      </c>
      <c r="S16" s="5" t="n">
        <v>281600</v>
      </c>
      <c r="T16" s="5" t="n">
        <v>5.35</v>
      </c>
      <c r="U16" s="5" t="n">
        <v>5.34</v>
      </c>
      <c r="V16" s="5" t="n">
        <v>8521</v>
      </c>
      <c r="W16" s="5" t="n">
        <v>5.5</v>
      </c>
      <c r="X16" s="5" t="n">
        <v>8.5</v>
      </c>
      <c r="Y16" s="6">
        <f>H16*10000*$D$3</f>
        <v/>
      </c>
      <c r="Z16" s="5" t="n">
        <v>19260</v>
      </c>
      <c r="AA16" s="5" t="n">
        <v>71</v>
      </c>
      <c r="AB16" s="5" t="n">
        <v>45.067028</v>
      </c>
      <c r="AC16" s="5" t="n">
        <v>9.953616</v>
      </c>
      <c r="AD16" s="7" t="inlineStr">
        <is>
          <t>Apri Ortofoto</t>
        </is>
      </c>
      <c r="AE16" s="5" t="inlineStr">
        <is>
          <t>Area produttiva a ~119 m: verificare la destinazione urbanistica</t>
        </is>
      </c>
      <c r="AF16" s="8" t="n"/>
      <c r="AG16" s="8" t="n"/>
      <c r="AH16" s="5">
        <f>IF(AG16="","",IF(AG16&lt;=$D$3,"SÌ","NO"))</f>
        <v/>
      </c>
    </row>
    <row r="17">
      <c r="A17" s="5" t="n">
        <v>12</v>
      </c>
      <c r="B17" s="5" t="inlineStr">
        <is>
          <t>Riserva Periurbana (&lt;250m Z.I./Res.)</t>
        </is>
      </c>
      <c r="C17" s="5" t="inlineStr">
        <is>
          <t>⚠️ Riserva Periurbana (Verifica PRG/Prezzo)</t>
        </is>
      </c>
      <c r="D17" s="5" t="inlineStr">
        <is>
          <t>Castel San Giovanni</t>
        </is>
      </c>
      <c r="E17" s="5" t="inlineStr">
        <is>
          <t>C261</t>
        </is>
      </c>
      <c r="F17" s="5" t="n">
        <v>13</v>
      </c>
      <c r="G17" s="5" t="n">
        <v>365</v>
      </c>
      <c r="H17" s="5" t="n">
        <v>6.23</v>
      </c>
      <c r="I17" s="5" t="n">
        <v>6.1</v>
      </c>
      <c r="J17" s="5" t="inlineStr">
        <is>
          <t>A21</t>
        </is>
      </c>
      <c r="K17" s="5" t="n">
        <v>30</v>
      </c>
      <c r="L17" s="5" t="n">
        <v>462</v>
      </c>
      <c r="M17" s="5" t="n">
        <v>220</v>
      </c>
      <c r="N17" s="5" t="inlineStr">
        <is>
          <t>Sarmato FS</t>
        </is>
      </c>
      <c r="O17" s="5" t="n">
        <v>132</v>
      </c>
      <c r="P17" s="5" t="n">
        <v>1.8</v>
      </c>
      <c r="Q17" s="5" t="inlineStr">
        <is>
          <t>CP Arena Po (AC001E01164)</t>
        </is>
      </c>
      <c r="R17" s="5" t="n">
        <v>2340</v>
      </c>
      <c r="S17" s="5" t="n">
        <v>197100</v>
      </c>
      <c r="T17" s="5" t="n">
        <v>5.19</v>
      </c>
      <c r="U17" s="5" t="n">
        <v>5.08</v>
      </c>
      <c r="V17" s="5" t="n">
        <v>8266</v>
      </c>
      <c r="W17" s="5" t="n">
        <v>5.6</v>
      </c>
      <c r="X17" s="5" t="n">
        <v>8.5</v>
      </c>
      <c r="Y17" s="6">
        <f>H17*10000*$D$3</f>
        <v/>
      </c>
      <c r="Z17" s="5" t="n">
        <v>18690</v>
      </c>
      <c r="AA17" s="5" t="n">
        <v>76</v>
      </c>
      <c r="AB17" s="5" t="n">
        <v>45.075397</v>
      </c>
      <c r="AC17" s="5" t="n">
        <v>9.465379</v>
      </c>
      <c r="AD17" s="7" t="inlineStr">
        <is>
          <t>Apri Ortofoto</t>
        </is>
      </c>
      <c r="AE17" s="5" t="inlineStr">
        <is>
          <t>Area produttiva a ~158 m: verificare la destinazione urbanistica</t>
        </is>
      </c>
      <c r="AF17" s="8" t="n"/>
      <c r="AG17" s="8" t="n"/>
      <c r="AH17" s="5">
        <f>IF(AG17="","",IF(AG17&lt;=$D$3,"SÌ","NO"))</f>
        <v/>
      </c>
    </row>
    <row r="18">
      <c r="A18" s="5" t="n">
        <v>13</v>
      </c>
      <c r="B18" s="5" t="inlineStr">
        <is>
          <t>Riserva Periurbana (&lt;250m Z.I./Res.)</t>
        </is>
      </c>
      <c r="C18" s="5" t="inlineStr">
        <is>
          <t>⚠️ Riserva Periurbana (Verifica PRG/Prezzo)</t>
        </is>
      </c>
      <c r="D18" s="5" t="inlineStr">
        <is>
          <t>Caorso</t>
        </is>
      </c>
      <c r="E18" s="5" t="inlineStr">
        <is>
          <t>B643</t>
        </is>
      </c>
      <c r="F18" s="5" t="n">
        <v>23</v>
      </c>
      <c r="G18" s="5" t="n">
        <v>99</v>
      </c>
      <c r="H18" s="5" t="n">
        <v>5.87</v>
      </c>
      <c r="I18" s="5" t="n">
        <v>5.87</v>
      </c>
      <c r="J18" s="5" t="inlineStr">
        <is>
          <t>A21</t>
        </is>
      </c>
      <c r="K18" s="5" t="n">
        <v>15</v>
      </c>
      <c r="L18" s="5" t="n">
        <v>264</v>
      </c>
      <c r="M18" s="5" t="n">
        <v>380</v>
      </c>
      <c r="N18" s="5" t="inlineStr">
        <is>
          <t>Monticelli FS</t>
        </is>
      </c>
      <c r="O18" s="5" t="n">
        <v>132</v>
      </c>
      <c r="P18" s="5" t="n">
        <v>1.7</v>
      </c>
      <c r="Q18" s="5" t="inlineStr">
        <is>
          <t>CP Monticelli d'Ongina (AC001E01173)</t>
        </is>
      </c>
      <c r="R18" s="5" t="n">
        <v>2210</v>
      </c>
      <c r="S18" s="5" t="n">
        <v>188650</v>
      </c>
      <c r="T18" s="5" t="n">
        <v>4.89</v>
      </c>
      <c r="U18" s="5" t="n">
        <v>4.89</v>
      </c>
      <c r="V18" s="5" t="n">
        <v>7788</v>
      </c>
      <c r="W18" s="5" t="n">
        <v>5.55</v>
      </c>
      <c r="X18" s="5" t="n">
        <v>8.5</v>
      </c>
      <c r="Y18" s="6">
        <f>H18*10000*$D$3</f>
        <v/>
      </c>
      <c r="Z18" s="5" t="n">
        <v>17610</v>
      </c>
      <c r="AA18" s="5" t="n">
        <v>76</v>
      </c>
      <c r="AB18" s="5" t="n">
        <v>45.059079</v>
      </c>
      <c r="AC18" s="5" t="n">
        <v>9.895398</v>
      </c>
      <c r="AD18" s="7" t="inlineStr">
        <is>
          <t>Apri Ortofoto</t>
        </is>
      </c>
      <c r="AE18" s="5" t="inlineStr">
        <is>
          <t>Linea AT 380 kV a ~264 m; Area commerciale a ~179 m: verificare la destinazione urbanistica</t>
        </is>
      </c>
      <c r="AF18" s="8" t="n"/>
      <c r="AG18" s="8" t="n"/>
      <c r="AH18" s="5">
        <f>IF(AG18="","",IF(AG18&lt;=$D$3,"SÌ","NO"))</f>
        <v/>
      </c>
    </row>
    <row r="19">
      <c r="A19" s="5" t="n">
        <v>14</v>
      </c>
      <c r="B19" s="5" t="inlineStr">
        <is>
          <t>Riserva Periurbana (&lt;250m Z.I./Res.)</t>
        </is>
      </c>
      <c r="C19" s="5" t="inlineStr">
        <is>
          <t>⚠️ Riserva Periurbana (Verifica PRG/Prezzo)</t>
        </is>
      </c>
      <c r="D19" s="5" t="inlineStr">
        <is>
          <t>Piacenza</t>
        </is>
      </c>
      <c r="E19" s="5" t="inlineStr">
        <is>
          <t>G535</t>
        </is>
      </c>
      <c r="F19" s="5" t="n">
        <v>38</v>
      </c>
      <c r="G19" s="5" t="n">
        <v>1400</v>
      </c>
      <c r="H19" s="5" t="n">
        <v>5.76</v>
      </c>
      <c r="I19" s="5" t="n">
        <v>5.77</v>
      </c>
      <c r="J19" s="5" t="inlineStr">
        <is>
          <t>A21</t>
        </is>
      </c>
      <c r="K19" s="5" t="n">
        <v>29</v>
      </c>
      <c r="L19" s="5" t="n">
        <v>428</v>
      </c>
      <c r="M19" s="5" t="n">
        <v>132</v>
      </c>
      <c r="N19" s="5" t="inlineStr">
        <is>
          <t>(senza nome)</t>
        </is>
      </c>
      <c r="O19" s="5" t="n">
        <v>132</v>
      </c>
      <c r="P19" s="5" t="n">
        <v>0.6</v>
      </c>
      <c r="Q19" s="5" t="inlineStr">
        <is>
          <t>CP Piacenza (AC001E01167)</t>
        </is>
      </c>
      <c r="R19" s="5" t="n">
        <v>780</v>
      </c>
      <c r="S19" s="5" t="n">
        <v>95700</v>
      </c>
      <c r="T19" s="5" t="n">
        <v>4.8</v>
      </c>
      <c r="U19" s="5" t="n">
        <v>4.81</v>
      </c>
      <c r="V19" s="5" t="n">
        <v>7645</v>
      </c>
      <c r="W19" s="5" t="n">
        <v>5.65</v>
      </c>
      <c r="X19" s="5" t="n">
        <v>8.5</v>
      </c>
      <c r="Y19" s="6">
        <f>H19*10000*$D$3</f>
        <v/>
      </c>
      <c r="Z19" s="5" t="n">
        <v>17280</v>
      </c>
      <c r="AA19" s="5" t="n">
        <v>84</v>
      </c>
      <c r="AB19" s="5" t="n">
        <v>45.059881</v>
      </c>
      <c r="AC19" s="5" t="n">
        <v>9.654045999999999</v>
      </c>
      <c r="AD19" s="7" t="inlineStr">
        <is>
          <t>Apri Ortofoto</t>
        </is>
      </c>
      <c r="AE19" s="5" t="inlineStr">
        <is>
          <t>Stazione elettrica a ~0,6 km; Area produttiva a ~181 m: verificare la destinazione urbanistica</t>
        </is>
      </c>
      <c r="AF19" s="8" t="n"/>
      <c r="AG19" s="8" t="n"/>
      <c r="AH19" s="5">
        <f>IF(AG19="","",IF(AG19&lt;=$D$3,"SÌ","NO"))</f>
        <v/>
      </c>
    </row>
    <row r="20">
      <c r="A20" s="5" t="n">
        <v>15</v>
      </c>
      <c r="B20" s="5" t="inlineStr">
        <is>
          <t>Riserva Periurbana (&lt;250m Z.I./Res.)</t>
        </is>
      </c>
      <c r="C20" s="5" t="inlineStr">
        <is>
          <t>⚠️ Riserva Periurbana (Verifica PRG/Prezzo)</t>
        </is>
      </c>
      <c r="D20" s="5" t="inlineStr">
        <is>
          <t>Rottofreno</t>
        </is>
      </c>
      <c r="E20" s="5" t="inlineStr">
        <is>
          <t>H593</t>
        </is>
      </c>
      <c r="F20" s="5" t="n">
        <v>17</v>
      </c>
      <c r="G20" s="5" t="n">
        <v>12</v>
      </c>
      <c r="H20" s="5" t="n">
        <v>9.140000000000001</v>
      </c>
      <c r="I20" s="5" t="n">
        <v>5.59</v>
      </c>
      <c r="J20" s="5" t="inlineStr">
        <is>
          <t>A21</t>
        </is>
      </c>
      <c r="K20" s="5" t="n">
        <v>97</v>
      </c>
      <c r="L20" s="5" t="n">
        <v>71</v>
      </c>
      <c r="M20" s="5" t="n">
        <v>132</v>
      </c>
      <c r="N20" s="5" t="inlineStr">
        <is>
          <t>Rottofreno</t>
        </is>
      </c>
      <c r="O20" s="5" t="n">
        <v>132</v>
      </c>
      <c r="P20" s="5" t="n">
        <v>1.8</v>
      </c>
      <c r="Q20" s="5" t="inlineStr">
        <is>
          <t>CP Rottofreno (AC001E01165)</t>
        </is>
      </c>
      <c r="R20" s="5" t="n">
        <v>2340</v>
      </c>
      <c r="S20" s="5" t="n">
        <v>197100</v>
      </c>
      <c r="T20" s="5" t="n">
        <v>7.62</v>
      </c>
      <c r="U20" s="5" t="n">
        <v>4.66</v>
      </c>
      <c r="V20" s="5" t="n">
        <v>12136</v>
      </c>
      <c r="W20" s="5" t="n">
        <v>5.65</v>
      </c>
      <c r="X20" s="5" t="n">
        <v>8.5</v>
      </c>
      <c r="Y20" s="6">
        <f>H20*10000*$D$3</f>
        <v/>
      </c>
      <c r="Z20" s="5" t="n">
        <v>27420</v>
      </c>
      <c r="AA20" s="5" t="n">
        <v>76</v>
      </c>
      <c r="AB20" s="5" t="n">
        <v>45.061374</v>
      </c>
      <c r="AC20" s="5" t="n">
        <v>9.598748000000001</v>
      </c>
      <c r="AD20" s="7" t="inlineStr">
        <is>
          <t>Apri Ortofoto</t>
        </is>
      </c>
      <c r="AE20" s="5" t="inlineStr">
        <is>
          <t>Linea AT 132 kV a ~71 m; Area residenziale a ~169 m: verificare la destinazione urbanistica; 3,6 ha oltre i 300 m</t>
        </is>
      </c>
      <c r="AF20" s="8" t="n"/>
      <c r="AG20" s="8" t="n"/>
      <c r="AH20" s="5">
        <f>IF(AG20="","",IF(AG20&lt;=$D$3,"SÌ","NO"))</f>
        <v/>
      </c>
    </row>
    <row r="21">
      <c r="A21" s="5" t="n">
        <v>16</v>
      </c>
      <c r="B21" s="5" t="inlineStr">
        <is>
          <t>Riserva Periurbana (&lt;250m Z.I./Res.)</t>
        </is>
      </c>
      <c r="C21" s="5" t="inlineStr">
        <is>
          <t>⚠️ Riserva Periurbana (Verifica PRG/Prezzo)</t>
        </is>
      </c>
      <c r="D21" s="5" t="inlineStr">
        <is>
          <t>Piacenza</t>
        </is>
      </c>
      <c r="E21" s="5" t="inlineStr">
        <is>
          <t>G535</t>
        </is>
      </c>
      <c r="F21" s="5" t="n">
        <v>27</v>
      </c>
      <c r="G21" s="5" t="n">
        <v>21</v>
      </c>
      <c r="H21" s="5" t="n">
        <v>5.43</v>
      </c>
      <c r="I21" s="5" t="n">
        <v>5.43</v>
      </c>
      <c r="J21" s="5" t="inlineStr">
        <is>
          <t>A21</t>
        </is>
      </c>
      <c r="K21" s="5" t="n">
        <v>15</v>
      </c>
      <c r="L21" s="5" t="n">
        <v>384</v>
      </c>
      <c r="M21" s="5" t="n">
        <v>132</v>
      </c>
      <c r="N21" s="5" t="inlineStr">
        <is>
          <t>(senza nome)</t>
        </is>
      </c>
      <c r="O21" s="5" t="n">
        <v>132</v>
      </c>
      <c r="P21" s="5" t="n">
        <v>2</v>
      </c>
      <c r="Q21" s="5" t="inlineStr">
        <is>
          <t>CP Piacenza (AC001E01168)</t>
        </is>
      </c>
      <c r="R21" s="5" t="n">
        <v>2600</v>
      </c>
      <c r="S21" s="5" t="n">
        <v>214000</v>
      </c>
      <c r="T21" s="5" t="n">
        <v>4.53</v>
      </c>
      <c r="U21" s="5" t="n">
        <v>4.53</v>
      </c>
      <c r="V21" s="5" t="n">
        <v>7215</v>
      </c>
      <c r="W21" s="5" t="n">
        <v>5.65</v>
      </c>
      <c r="X21" s="5" t="n">
        <v>8.5</v>
      </c>
      <c r="Y21" s="6">
        <f>H21*10000*$D$3</f>
        <v/>
      </c>
      <c r="Z21" s="5" t="n">
        <v>16290</v>
      </c>
      <c r="AA21" s="5" t="n">
        <v>76</v>
      </c>
      <c r="AB21" s="5" t="n">
        <v>45.048813</v>
      </c>
      <c r="AC21" s="5" t="n">
        <v>9.773546</v>
      </c>
      <c r="AD21" s="7" t="inlineStr">
        <is>
          <t>Apri Ortofoto</t>
        </is>
      </c>
      <c r="AE21" s="5" t="inlineStr">
        <is>
          <t>Seminativo aperto in fascia autostradale ≤300m D.Lgs. 199/2021</t>
        </is>
      </c>
      <c r="AF21" s="8" t="n"/>
      <c r="AG21" s="8" t="n"/>
      <c r="AH21" s="5">
        <f>IF(AG21="","",IF(AG21&lt;=$D$3,"SÌ","NO"))</f>
        <v/>
      </c>
    </row>
    <row r="22">
      <c r="A22" s="5" t="n">
        <v>17</v>
      </c>
      <c r="B22" s="5" t="inlineStr">
        <is>
          <t>Riserva Periurbana (&lt;250m Z.I./Res.)</t>
        </is>
      </c>
      <c r="C22" s="5" t="inlineStr">
        <is>
          <t>⚠️ Riserva Periurbana (Verifica PRG/Prezzo)</t>
        </is>
      </c>
      <c r="D22" s="5" t="inlineStr">
        <is>
          <t>Piacenza</t>
        </is>
      </c>
      <c r="E22" s="5" t="inlineStr">
        <is>
          <t>G535</t>
        </is>
      </c>
      <c r="F22" s="5" t="n">
        <v>27</v>
      </c>
      <c r="G22" s="5" t="n">
        <v>27</v>
      </c>
      <c r="H22" s="5" t="n">
        <v>6.76</v>
      </c>
      <c r="I22" s="5" t="n">
        <v>5.09</v>
      </c>
      <c r="J22" s="5" t="inlineStr">
        <is>
          <t>A21</t>
        </is>
      </c>
      <c r="K22" s="5" t="n">
        <v>16</v>
      </c>
      <c r="L22" s="5" t="n">
        <v>33</v>
      </c>
      <c r="M22" s="5" t="n">
        <v>132</v>
      </c>
      <c r="N22" s="5" t="inlineStr">
        <is>
          <t>(senza nome)</t>
        </is>
      </c>
      <c r="O22" s="5" t="n">
        <v>132</v>
      </c>
      <c r="P22" s="5" t="n">
        <v>2.4</v>
      </c>
      <c r="Q22" s="5" t="inlineStr">
        <is>
          <t>CP Piacenza (AC001E01168)</t>
        </is>
      </c>
      <c r="R22" s="5" t="n">
        <v>3120</v>
      </c>
      <c r="S22" s="5" t="n">
        <v>247800</v>
      </c>
      <c r="T22" s="5" t="n">
        <v>5.63</v>
      </c>
      <c r="U22" s="5" t="n">
        <v>4.24</v>
      </c>
      <c r="V22" s="5" t="n">
        <v>8967</v>
      </c>
      <c r="W22" s="5" t="n">
        <v>5.65</v>
      </c>
      <c r="X22" s="5" t="n">
        <v>8.5</v>
      </c>
      <c r="Y22" s="6">
        <f>H22*10000*$D$3</f>
        <v/>
      </c>
      <c r="Z22" s="5" t="n">
        <v>20280</v>
      </c>
      <c r="AA22" s="5" t="n">
        <v>76</v>
      </c>
      <c r="AB22" s="5" t="n">
        <v>45.051831</v>
      </c>
      <c r="AC22" s="5" t="n">
        <v>9.780048000000001</v>
      </c>
      <c r="AD22" s="7" t="inlineStr">
        <is>
          <t>Apri Ortofoto</t>
        </is>
      </c>
      <c r="AE22" s="5" t="inlineStr">
        <is>
          <t>Linea AT 132 kV sul fondo o al confine: condiziona il layout, ma la rete è vicina; 1,7 ha oltre i 300 m</t>
        </is>
      </c>
      <c r="AF22" s="8" t="n"/>
      <c r="AG22" s="8" t="n"/>
      <c r="AH22" s="5">
        <f>IF(AG22="","",IF(AG22&lt;=$D$3,"SÌ","NO"))</f>
        <v/>
      </c>
    </row>
    <row r="23">
      <c r="A23" s="5" t="n">
        <v>18</v>
      </c>
      <c r="B23" s="5" t="inlineStr">
        <is>
          <t>Riserva Periurbana (&lt;250m Z.I./Res.)</t>
        </is>
      </c>
      <c r="C23" s="5" t="inlineStr">
        <is>
          <t>⚠️ Riserva Periurbana (Verifica PRG/Prezzo)</t>
        </is>
      </c>
      <c r="D23" s="5" t="inlineStr">
        <is>
          <t>Monticelli d'Ongina</t>
        </is>
      </c>
      <c r="E23" s="5" t="inlineStr">
        <is>
          <t>F671</t>
        </is>
      </c>
      <c r="F23" s="5" t="n">
        <v>32</v>
      </c>
      <c r="G23" s="5" t="n">
        <v>5</v>
      </c>
      <c r="H23" s="5" t="n">
        <v>4.94</v>
      </c>
      <c r="I23" s="5" t="n">
        <v>4.94</v>
      </c>
      <c r="J23" s="5" t="inlineStr">
        <is>
          <t>A21</t>
        </is>
      </c>
      <c r="K23" s="5" t="n">
        <v>31</v>
      </c>
      <c r="L23" s="5" t="n">
        <v>526</v>
      </c>
      <c r="M23" s="5" t="n">
        <v>380</v>
      </c>
      <c r="N23" s="5" t="inlineStr">
        <is>
          <t>Monticelli Ferrovia</t>
        </is>
      </c>
      <c r="O23" s="5" t="n">
        <v>132</v>
      </c>
      <c r="P23" s="5" t="n">
        <v>1.9</v>
      </c>
      <c r="Q23" s="5" t="inlineStr">
        <is>
          <t>CP Monticelli d'Ongina (AC001E01173)</t>
        </is>
      </c>
      <c r="R23" s="5" t="n">
        <v>2470</v>
      </c>
      <c r="S23" s="5" t="n">
        <v>205550</v>
      </c>
      <c r="T23" s="5" t="n">
        <v>4.12</v>
      </c>
      <c r="U23" s="5" t="n">
        <v>4.12</v>
      </c>
      <c r="V23" s="5" t="n">
        <v>6562</v>
      </c>
      <c r="W23" s="5" t="n">
        <v>5.5</v>
      </c>
      <c r="X23" s="5" t="n">
        <v>8.5</v>
      </c>
      <c r="Y23" s="6">
        <f>H23*10000*$D$3</f>
        <v/>
      </c>
      <c r="Z23" s="5" t="n">
        <v>14820</v>
      </c>
      <c r="AA23" s="5" t="n">
        <v>75</v>
      </c>
      <c r="AB23" s="5" t="n">
        <v>45.063027</v>
      </c>
      <c r="AC23" s="5" t="n">
        <v>9.943453999999999</v>
      </c>
      <c r="AD23" s="7" t="inlineStr">
        <is>
          <t>Apri Ortofoto</t>
        </is>
      </c>
      <c r="AE23" s="5" t="inlineStr">
        <is>
          <t>Area cantiere a ~127 m: verificare la destinazione urbanistica</t>
        </is>
      </c>
      <c r="AF23" s="8" t="n"/>
      <c r="AG23" s="8" t="n"/>
      <c r="AH23" s="5">
        <f>IF(AG23="","",IF(AG23&lt;=$D$3,"SÌ","NO"))</f>
        <v/>
      </c>
    </row>
    <row r="24">
      <c r="A24" s="5" t="n">
        <v>19</v>
      </c>
      <c r="B24" s="5" t="inlineStr">
        <is>
          <t>Riserva Periurbana (&lt;250m Z.I./Res.)</t>
        </is>
      </c>
      <c r="C24" s="5" t="inlineStr">
        <is>
          <t>⚠️ Riserva Periurbana (Verifica PRG/Prezzo)</t>
        </is>
      </c>
      <c r="D24" s="5" t="inlineStr">
        <is>
          <t>Fiorenzuola d'Arda</t>
        </is>
      </c>
      <c r="E24" s="5" t="inlineStr">
        <is>
          <t>D611</t>
        </is>
      </c>
      <c r="F24" s="5" t="n">
        <v>3</v>
      </c>
      <c r="G24" s="5" t="n">
        <v>46</v>
      </c>
      <c r="H24" s="5" t="n">
        <v>4.92</v>
      </c>
      <c r="I24" s="5" t="n">
        <v>4.92</v>
      </c>
      <c r="J24" s="5" t="inlineStr">
        <is>
          <t>A1</t>
        </is>
      </c>
      <c r="K24" s="5" t="n">
        <v>15</v>
      </c>
      <c r="L24" s="5" t="n">
        <v>312</v>
      </c>
      <c r="M24" s="5" t="n">
        <v>132</v>
      </c>
      <c r="N24" s="5" t="inlineStr">
        <is>
          <t>Fiorenzuola AV</t>
        </is>
      </c>
      <c r="O24" s="5" t="n">
        <v>132</v>
      </c>
      <c r="P24" s="5" t="n">
        <v>0.7</v>
      </c>
      <c r="Q24" s="5" t="inlineStr">
        <is>
          <t>CP Fiorenzuola d'Arda (AC001E01230)</t>
        </is>
      </c>
      <c r="R24" s="5" t="n">
        <v>910</v>
      </c>
      <c r="S24" s="5" t="n">
        <v>104150</v>
      </c>
      <c r="T24" s="5" t="n">
        <v>4.1</v>
      </c>
      <c r="U24" s="5" t="n">
        <v>4.1</v>
      </c>
      <c r="V24" s="5" t="n">
        <v>6530</v>
      </c>
      <c r="W24" s="5" t="n">
        <v>5.45</v>
      </c>
      <c r="X24" s="5" t="n">
        <v>8.5</v>
      </c>
      <c r="Y24" s="6">
        <f>H24*10000*$D$3</f>
        <v/>
      </c>
      <c r="Z24" s="5" t="n">
        <v>14760</v>
      </c>
      <c r="AA24" s="5" t="n">
        <v>83</v>
      </c>
      <c r="AB24" s="5" t="n">
        <v>44.965322</v>
      </c>
      <c r="AC24" s="5" t="n">
        <v>9.896571</v>
      </c>
      <c r="AD24" s="7" t="inlineStr">
        <is>
          <t>Apri Ortofoto</t>
        </is>
      </c>
      <c r="AE24" s="5" t="inlineStr">
        <is>
          <t>Stazione elettrica Fiorenzuola AV a ~0,7 km; Area produttiva a ~153 m: verificare la destinazione urbanistica</t>
        </is>
      </c>
      <c r="AF24" s="8" t="n"/>
      <c r="AG24" s="8" t="n"/>
      <c r="AH24" s="5">
        <f>IF(AG24="","",IF(AG24&lt;=$D$3,"SÌ","NO"))</f>
        <v/>
      </c>
    </row>
    <row r="25">
      <c r="A25" s="5" t="n">
        <v>20</v>
      </c>
      <c r="B25" s="5" t="inlineStr">
        <is>
          <t>Riserva Periurbana (&lt;250m Z.I./Res.)</t>
        </is>
      </c>
      <c r="C25" s="5" t="inlineStr">
        <is>
          <t>⚠️ Riserva Periurbana (Verifica PRG/Prezzo)</t>
        </is>
      </c>
      <c r="D25" s="5" t="inlineStr">
        <is>
          <t>Piacenza</t>
        </is>
      </c>
      <c r="E25" s="5" t="inlineStr">
        <is>
          <t>G535</t>
        </is>
      </c>
      <c r="F25" s="5" t="n">
        <v>17</v>
      </c>
      <c r="G25" s="5" t="n">
        <v>39</v>
      </c>
      <c r="H25" s="5" t="n">
        <v>10.03</v>
      </c>
      <c r="I25" s="5" t="n">
        <v>4.91</v>
      </c>
      <c r="J25" s="5" t="inlineStr">
        <is>
          <t>A21</t>
        </is>
      </c>
      <c r="K25" s="5" t="n">
        <v>189</v>
      </c>
      <c r="L25" s="5" t="n">
        <v>182</v>
      </c>
      <c r="M25" s="5" t="n">
        <v>132</v>
      </c>
      <c r="N25" s="5" t="inlineStr">
        <is>
          <t>Tecnoborgo sezionamento</t>
        </is>
      </c>
      <c r="O25" s="5" t="n">
        <v>132</v>
      </c>
      <c r="P25" s="5" t="n">
        <v>2.2</v>
      </c>
      <c r="Q25" s="5" t="inlineStr">
        <is>
          <t>CP Piacenza (AC001E01168)</t>
        </is>
      </c>
      <c r="R25" s="5" t="n">
        <v>2860</v>
      </c>
      <c r="S25" s="5" t="n">
        <v>230900</v>
      </c>
      <c r="T25" s="5" t="n">
        <v>8.359999999999999</v>
      </c>
      <c r="U25" s="5" t="n">
        <v>4.09</v>
      </c>
      <c r="V25" s="5" t="n">
        <v>13315</v>
      </c>
      <c r="W25" s="5" t="n">
        <v>5.65</v>
      </c>
      <c r="X25" s="5" t="n">
        <v>8.5</v>
      </c>
      <c r="Y25" s="6">
        <f>H25*10000*$D$3</f>
        <v/>
      </c>
      <c r="Z25" s="5" t="n">
        <v>30090</v>
      </c>
      <c r="AA25" s="5" t="n">
        <v>76.5</v>
      </c>
      <c r="AB25" s="5" t="n">
        <v>45.053872</v>
      </c>
      <c r="AC25" s="5" t="n">
        <v>9.758993</v>
      </c>
      <c r="AD25" s="7" t="inlineStr">
        <is>
          <t>Apri Ortofoto</t>
        </is>
      </c>
      <c r="AE25" s="5" t="inlineStr">
        <is>
          <t>Linea AT 132 kV a ~182 m; Area residenziale a ~120 m: verificare la destinazione urbanistica; 5,1 ha oltre i 300 m</t>
        </is>
      </c>
      <c r="AF25" s="8" t="n"/>
      <c r="AG25" s="8" t="n"/>
      <c r="AH25" s="5">
        <f>IF(AG25="","",IF(AG25&lt;=$D$3,"SÌ","NO"))</f>
        <v/>
      </c>
    </row>
    <row r="26">
      <c r="A26" s="5" t="n">
        <v>21</v>
      </c>
      <c r="B26" s="5" t="inlineStr">
        <is>
          <t>Riserva Periurbana (&lt;250m Z.I./Res.)</t>
        </is>
      </c>
      <c r="C26" s="5" t="inlineStr">
        <is>
          <t>⚠️ Riserva Periurbana (Verifica PRG/Prezzo)</t>
        </is>
      </c>
      <c r="D26" s="5" t="inlineStr">
        <is>
          <t>Fiorenzuola d'Arda</t>
        </is>
      </c>
      <c r="E26" s="5" t="inlineStr">
        <is>
          <t>D611</t>
        </is>
      </c>
      <c r="F26" s="5" t="n">
        <v>3</v>
      </c>
      <c r="G26" s="5" t="n">
        <v>72</v>
      </c>
      <c r="H26" s="5" t="n">
        <v>5.5</v>
      </c>
      <c r="I26" s="5" t="n">
        <v>4.78</v>
      </c>
      <c r="J26" s="5" t="inlineStr">
        <is>
          <t>A1</t>
        </is>
      </c>
      <c r="K26" s="5" t="n">
        <v>44</v>
      </c>
      <c r="L26" s="5" t="n">
        <v>446</v>
      </c>
      <c r="M26" s="5" t="n">
        <v>132</v>
      </c>
      <c r="N26" s="5" t="inlineStr">
        <is>
          <t>Fiorenzuola AV</t>
        </is>
      </c>
      <c r="O26" s="5" t="n">
        <v>132</v>
      </c>
      <c r="P26" s="5" t="n">
        <v>1.2</v>
      </c>
      <c r="Q26" s="5" t="inlineStr">
        <is>
          <t>CP Fiorenzuola d'Arda (AC001E01230)</t>
        </is>
      </c>
      <c r="R26" s="5" t="n">
        <v>1560</v>
      </c>
      <c r="S26" s="5" t="n">
        <v>146400</v>
      </c>
      <c r="T26" s="5" t="n">
        <v>4.58</v>
      </c>
      <c r="U26" s="5" t="n">
        <v>3.98</v>
      </c>
      <c r="V26" s="5" t="n">
        <v>7295</v>
      </c>
      <c r="W26" s="5" t="n">
        <v>5.45</v>
      </c>
      <c r="X26" s="5" t="n">
        <v>8.5</v>
      </c>
      <c r="Y26" s="6">
        <f>H26*10000*$D$3</f>
        <v/>
      </c>
      <c r="Z26" s="5" t="n">
        <v>16500</v>
      </c>
      <c r="AA26" s="5" t="n">
        <v>80</v>
      </c>
      <c r="AB26" s="5" t="n">
        <v>44.962075</v>
      </c>
      <c r="AC26" s="5" t="n">
        <v>9.901297</v>
      </c>
      <c r="AD26" s="7" t="inlineStr">
        <is>
          <t>Apri Ortofoto</t>
        </is>
      </c>
      <c r="AE26" s="5" t="inlineStr">
        <is>
          <t>Stazione elettrica Fiorenzuola AV a ~1,2 km; Area produttiva a ~241 m: verificare la destinazione urbanistica; 0,7 ha oltre i 300 m</t>
        </is>
      </c>
      <c r="AF26" s="8" t="n"/>
      <c r="AG26" s="8" t="n"/>
      <c r="AH26" s="5">
        <f>IF(AG26="","",IF(AG26&lt;=$D$3,"SÌ","NO"))</f>
        <v/>
      </c>
    </row>
    <row r="27">
      <c r="A27" s="5" t="n">
        <v>22</v>
      </c>
      <c r="B27" s="5" t="inlineStr">
        <is>
          <t>Riserva Periurbana (&lt;250m Z.I./Res.)</t>
        </is>
      </c>
      <c r="C27" s="5" t="inlineStr">
        <is>
          <t>⚠️ Riserva Periurbana (Verifica PRG/Prezzo)</t>
        </is>
      </c>
      <c r="D27" s="5" t="inlineStr">
        <is>
          <t>Fiorenzuola d'Arda</t>
        </is>
      </c>
      <c r="E27" s="5" t="inlineStr">
        <is>
          <t>D611</t>
        </is>
      </c>
      <c r="F27" s="5" t="n">
        <v>3</v>
      </c>
      <c r="G27" s="5" t="n">
        <v>139</v>
      </c>
      <c r="H27" s="5" t="n">
        <v>4.71</v>
      </c>
      <c r="I27" s="5" t="n">
        <v>4.71</v>
      </c>
      <c r="J27" s="5" t="inlineStr">
        <is>
          <t>A1</t>
        </is>
      </c>
      <c r="K27" s="5" t="n">
        <v>14</v>
      </c>
      <c r="L27" s="5" t="n">
        <v>88</v>
      </c>
      <c r="M27" s="5" t="n">
        <v>132</v>
      </c>
      <c r="N27" s="5" t="inlineStr">
        <is>
          <t>Fiorenzuola AV</t>
        </is>
      </c>
      <c r="O27" s="5" t="n">
        <v>132</v>
      </c>
      <c r="P27" s="5" t="n">
        <v>0.6</v>
      </c>
      <c r="Q27" s="5" t="inlineStr">
        <is>
          <t>CP Fiorenzuola d'Arda (AC001E01230)</t>
        </is>
      </c>
      <c r="R27" s="5" t="n">
        <v>780</v>
      </c>
      <c r="S27" s="5" t="n">
        <v>95700</v>
      </c>
      <c r="T27" s="5" t="n">
        <v>3.93</v>
      </c>
      <c r="U27" s="5" t="n">
        <v>3.93</v>
      </c>
      <c r="V27" s="5" t="n">
        <v>6259</v>
      </c>
      <c r="W27" s="5" t="n">
        <v>5.45</v>
      </c>
      <c r="X27" s="5" t="n">
        <v>8.5</v>
      </c>
      <c r="Y27" s="6">
        <f>H27*10000*$D$3</f>
        <v/>
      </c>
      <c r="Z27" s="5" t="n">
        <v>14130</v>
      </c>
      <c r="AA27" s="5" t="n">
        <v>83</v>
      </c>
      <c r="AB27" s="5" t="n">
        <v>44.967203</v>
      </c>
      <c r="AC27" s="5" t="n">
        <v>9.897651</v>
      </c>
      <c r="AD27" s="7" t="inlineStr">
        <is>
          <t>Apri Ortofoto</t>
        </is>
      </c>
      <c r="AE27" s="5" t="inlineStr">
        <is>
          <t>Linea AT 132 kV a ~88 m; Stazione elettrica Fiorenzuola AV a ~0,6 km; Area produttiva a ~120 m: verificare la destinazione urbanistica</t>
        </is>
      </c>
      <c r="AF27" s="8" t="n"/>
      <c r="AG27" s="8" t="n"/>
      <c r="AH27" s="5">
        <f>IF(AG27="","",IF(AG27&lt;=$D$3,"SÌ","NO"))</f>
        <v/>
      </c>
    </row>
    <row r="28">
      <c r="A28" s="5" t="n">
        <v>23</v>
      </c>
      <c r="B28" s="5" t="inlineStr">
        <is>
          <t>Riserva Periurbana (&lt;250m Z.I./Res.)</t>
        </is>
      </c>
      <c r="C28" s="5" t="inlineStr">
        <is>
          <t>⚠️ Riserva Periurbana (Verifica PRG/Prezzo)</t>
        </is>
      </c>
      <c r="D28" s="5" t="inlineStr">
        <is>
          <t>Piacenza</t>
        </is>
      </c>
      <c r="E28" s="5" t="inlineStr">
        <is>
          <t>G535</t>
        </is>
      </c>
      <c r="F28" s="5" t="n">
        <v>26</v>
      </c>
      <c r="G28" s="5" t="n">
        <v>1088</v>
      </c>
      <c r="H28" s="5" t="n">
        <v>4.51</v>
      </c>
      <c r="I28" s="5" t="n">
        <v>4.51</v>
      </c>
      <c r="J28" s="5" t="inlineStr">
        <is>
          <t>A21</t>
        </is>
      </c>
      <c r="K28" s="5" t="n">
        <v>17</v>
      </c>
      <c r="L28" s="5" t="n">
        <v>54</v>
      </c>
      <c r="M28" s="5" t="n">
        <v>132</v>
      </c>
      <c r="N28" s="5" t="inlineStr">
        <is>
          <t>(senza nome)</t>
        </is>
      </c>
      <c r="O28" s="5" t="n">
        <v>132</v>
      </c>
      <c r="P28" s="5" t="n">
        <v>2.3</v>
      </c>
      <c r="Q28" s="5" t="inlineStr">
        <is>
          <t>CP Piacenza (AC001E01168)</t>
        </is>
      </c>
      <c r="R28" s="5" t="n">
        <v>2990</v>
      </c>
      <c r="S28" s="5" t="n">
        <v>239350</v>
      </c>
      <c r="T28" s="5" t="n">
        <v>3.76</v>
      </c>
      <c r="U28" s="5" t="n">
        <v>3.76</v>
      </c>
      <c r="V28" s="5" t="n">
        <v>5989</v>
      </c>
      <c r="W28" s="5" t="n">
        <v>5.65</v>
      </c>
      <c r="X28" s="5" t="n">
        <v>8.5</v>
      </c>
      <c r="Y28" s="6">
        <f>H28*10000*$D$3</f>
        <v/>
      </c>
      <c r="Z28" s="5" t="n">
        <v>13530</v>
      </c>
      <c r="AA28" s="5" t="n">
        <v>75</v>
      </c>
      <c r="AB28" s="5" t="n">
        <v>45.051764</v>
      </c>
      <c r="AC28" s="5" t="n">
        <v>9.764595999999999</v>
      </c>
      <c r="AD28" s="7" t="inlineStr">
        <is>
          <t>Apri Ortofoto</t>
        </is>
      </c>
      <c r="AE28" s="5" t="inlineStr">
        <is>
          <t>Linea AT 132 kV a ~54 m</t>
        </is>
      </c>
      <c r="AF28" s="8" t="n"/>
      <c r="AG28" s="8" t="n"/>
      <c r="AH28" s="5">
        <f>IF(AG28="","",IF(AG28&lt;=$D$3,"SÌ","NO"))</f>
        <v/>
      </c>
    </row>
    <row r="29">
      <c r="A29" s="5" t="n">
        <v>24</v>
      </c>
      <c r="B29" s="5" t="inlineStr">
        <is>
          <t>Riserva Periurbana (&lt;250m Z.I./Res.)</t>
        </is>
      </c>
      <c r="C29" s="5" t="inlineStr">
        <is>
          <t>⚠️ Riserva Periurbana (Verifica PRG/Prezzo)</t>
        </is>
      </c>
      <c r="D29" s="5" t="inlineStr">
        <is>
          <t>Piacenza</t>
        </is>
      </c>
      <c r="E29" s="5" t="inlineStr">
        <is>
          <t>G535</t>
        </is>
      </c>
      <c r="F29" s="5" t="n">
        <v>39</v>
      </c>
      <c r="G29" s="5" t="n">
        <v>3066</v>
      </c>
      <c r="H29" s="5" t="n">
        <v>4.25</v>
      </c>
      <c r="I29" s="5" t="n">
        <v>4.25</v>
      </c>
      <c r="J29" s="5" t="inlineStr">
        <is>
          <t>A21</t>
        </is>
      </c>
      <c r="K29" s="5" t="n">
        <v>36</v>
      </c>
      <c r="L29" s="5" t="n">
        <v>56</v>
      </c>
      <c r="M29" s="5" t="n">
        <v>132</v>
      </c>
      <c r="N29" s="5" t="inlineStr">
        <is>
          <t>Piacenza Ovest</t>
        </is>
      </c>
      <c r="O29" s="5" t="n">
        <v>132</v>
      </c>
      <c r="P29" s="5" t="n">
        <v>0.9</v>
      </c>
      <c r="Q29" s="5" t="inlineStr">
        <is>
          <t>CP Piacenza (AC001E01167)</t>
        </is>
      </c>
      <c r="R29" s="5" t="n">
        <v>1170</v>
      </c>
      <c r="S29" s="5" t="n">
        <v>121050</v>
      </c>
      <c r="T29" s="5" t="n">
        <v>3.54</v>
      </c>
      <c r="U29" s="5" t="n">
        <v>3.54</v>
      </c>
      <c r="V29" s="5" t="n">
        <v>5638</v>
      </c>
      <c r="W29" s="5" t="n">
        <v>5.65</v>
      </c>
      <c r="X29" s="5" t="n">
        <v>8.5</v>
      </c>
      <c r="Y29" s="6">
        <f>H29*10000*$D$3</f>
        <v/>
      </c>
      <c r="Z29" s="5" t="n">
        <v>12750</v>
      </c>
      <c r="AA29" s="5" t="n">
        <v>83</v>
      </c>
      <c r="AB29" s="5" t="n">
        <v>45.062611</v>
      </c>
      <c r="AC29" s="5" t="n">
        <v>9.666918000000001</v>
      </c>
      <c r="AD29" s="7" t="inlineStr">
        <is>
          <t>Apri Ortofoto</t>
        </is>
      </c>
      <c r="AE29" s="5" t="inlineStr">
        <is>
          <t>Linea AT 132 kV a ~56 m; Stazione elettrica Piacenza Ovest a ~0,9 km; Area produttiva a ~4 m: verificare la destinazione urbanistica</t>
        </is>
      </c>
      <c r="AF29" s="8" t="n"/>
      <c r="AG29" s="8" t="n"/>
      <c r="AH29" s="5">
        <f>IF(AG29="","",IF(AG29&lt;=$D$3,"SÌ","NO"))</f>
        <v/>
      </c>
    </row>
    <row r="30">
      <c r="A30" s="5" t="n">
        <v>25</v>
      </c>
      <c r="B30" s="5" t="inlineStr">
        <is>
          <t>Riserva Periurbana (&lt;250m Z.I./Res.)</t>
        </is>
      </c>
      <c r="C30" s="5" t="inlineStr">
        <is>
          <t>⚠️ Riserva Periurbana (Verifica PRG/Prezzo)</t>
        </is>
      </c>
      <c r="D30" s="5" t="inlineStr">
        <is>
          <t>Calendasco</t>
        </is>
      </c>
      <c r="E30" s="5" t="inlineStr">
        <is>
          <t>B405</t>
        </is>
      </c>
      <c r="F30" s="5" t="n">
        <v>33</v>
      </c>
      <c r="G30" s="5" t="n">
        <v>14</v>
      </c>
      <c r="H30" s="5" t="n">
        <v>4.2</v>
      </c>
      <c r="I30" s="5" t="n">
        <v>4.2</v>
      </c>
      <c r="J30" s="5" t="inlineStr">
        <is>
          <t>A21</t>
        </is>
      </c>
      <c r="K30" s="5" t="n">
        <v>16</v>
      </c>
      <c r="L30" s="5" t="n">
        <v>27</v>
      </c>
      <c r="M30" s="5" t="n">
        <v>132</v>
      </c>
      <c r="N30" s="5" t="inlineStr">
        <is>
          <t>(senza nome)</t>
        </is>
      </c>
      <c r="O30" s="5" t="n">
        <v>132</v>
      </c>
      <c r="P30" s="5" t="n">
        <v>0.7</v>
      </c>
      <c r="Q30" s="5" t="inlineStr">
        <is>
          <t>CP Piacenza (AC001E01167)</t>
        </is>
      </c>
      <c r="R30" s="5" t="n">
        <v>910</v>
      </c>
      <c r="S30" s="5" t="n">
        <v>104150</v>
      </c>
      <c r="T30" s="5" t="n">
        <v>3.5</v>
      </c>
      <c r="U30" s="5" t="n">
        <v>3.5</v>
      </c>
      <c r="V30" s="5" t="n">
        <v>5574</v>
      </c>
      <c r="W30" s="5" t="n">
        <v>5.65</v>
      </c>
      <c r="X30" s="5" t="n">
        <v>8.5</v>
      </c>
      <c r="Y30" s="6">
        <f>H30*10000*$D$3</f>
        <v/>
      </c>
      <c r="Z30" s="5" t="n">
        <v>12600</v>
      </c>
      <c r="AA30" s="5" t="n">
        <v>83</v>
      </c>
      <c r="AB30" s="5" t="n">
        <v>45.063441</v>
      </c>
      <c r="AC30" s="5" t="n">
        <v>9.633849</v>
      </c>
      <c r="AD30" s="7" t="inlineStr">
        <is>
          <t>Apri Ortofoto</t>
        </is>
      </c>
      <c r="AE30" s="5" t="inlineStr">
        <is>
          <t>Linea AT 132 kV sul fondo o al confine: condiziona il layout, ma la rete è vicina; Stazione elettrica a ~0,7 km; Area produttiva a ~137 m: verificare la destinazione urbanistica</t>
        </is>
      </c>
      <c r="AF30" s="8" t="n"/>
      <c r="AG30" s="8" t="n"/>
      <c r="AH30" s="5">
        <f>IF(AG30="","",IF(AG30&lt;=$D$3,"SÌ","NO"))</f>
        <v/>
      </c>
    </row>
    <row r="31">
      <c r="A31" s="5" t="n">
        <v>26</v>
      </c>
      <c r="B31" s="5" t="inlineStr">
        <is>
          <t>Riserva Periurbana (&lt;250m Z.I./Res.)</t>
        </is>
      </c>
      <c r="C31" s="5" t="inlineStr">
        <is>
          <t>⚠️ Riserva Periurbana (Verifica PRG/Prezzo)</t>
        </is>
      </c>
      <c r="D31" s="5" t="inlineStr">
        <is>
          <t>Piacenza</t>
        </is>
      </c>
      <c r="E31" s="5" t="inlineStr">
        <is>
          <t>G535</t>
        </is>
      </c>
      <c r="F31" s="5" t="n">
        <v>40</v>
      </c>
      <c r="G31" s="5" t="n">
        <v>194</v>
      </c>
      <c r="H31" s="5" t="n">
        <v>4.14</v>
      </c>
      <c r="I31" s="5" t="n">
        <v>4.14</v>
      </c>
      <c r="J31" s="5" t="inlineStr">
        <is>
          <t>A21</t>
        </is>
      </c>
      <c r="K31" s="5" t="n">
        <v>15</v>
      </c>
      <c r="L31" s="5" t="n">
        <v>75</v>
      </c>
      <c r="M31" s="5" t="n">
        <v>132</v>
      </c>
      <c r="N31" s="5" t="inlineStr">
        <is>
          <t>Piacenza Ovest</t>
        </is>
      </c>
      <c r="O31" s="5" t="n">
        <v>132</v>
      </c>
      <c r="P31" s="5" t="n">
        <v>0.8</v>
      </c>
      <c r="Q31" s="5" t="inlineStr">
        <is>
          <t>CP Piacenza (AC001E01167)</t>
        </is>
      </c>
      <c r="R31" s="5" t="n">
        <v>1040</v>
      </c>
      <c r="S31" s="5" t="n">
        <v>112600</v>
      </c>
      <c r="T31" s="5" t="n">
        <v>3.45</v>
      </c>
      <c r="U31" s="5" t="n">
        <v>3.45</v>
      </c>
      <c r="V31" s="5" t="n">
        <v>5495</v>
      </c>
      <c r="W31" s="5" t="n">
        <v>5.65</v>
      </c>
      <c r="X31" s="5" t="n">
        <v>8.5</v>
      </c>
      <c r="Y31" s="6">
        <f>H31*10000*$D$3</f>
        <v/>
      </c>
      <c r="Z31" s="5" t="n">
        <v>12420</v>
      </c>
      <c r="AA31" s="5" t="n">
        <v>83</v>
      </c>
      <c r="AB31" s="5" t="n">
        <v>45.060433</v>
      </c>
      <c r="AC31" s="5" t="n">
        <v>9.683897</v>
      </c>
      <c r="AD31" s="7" t="inlineStr">
        <is>
          <t>Apri Ortofoto</t>
        </is>
      </c>
      <c r="AE31" s="5" t="inlineStr">
        <is>
          <t>Linea AT 132 kV a ~75 m; Stazione elettrica Piacenza Ovest a ~0,8 km; Area produttiva a ~137 m: verificare la destinazione urbanistica</t>
        </is>
      </c>
      <c r="AF31" s="8" t="n"/>
      <c r="AG31" s="8" t="n"/>
      <c r="AH31" s="5">
        <f>IF(AG31="","",IF(AG31&lt;=$D$3,"SÌ","NO"))</f>
        <v/>
      </c>
    </row>
    <row r="32">
      <c r="G32" s="2" t="inlineStr">
        <is>
          <t>Totale</t>
        </is>
      </c>
      <c r="H32" s="2">
        <f>SUM(H6:H31)</f>
        <v/>
      </c>
      <c r="I32" s="2">
        <f>SUM(I6:I31)</f>
        <v/>
      </c>
      <c r="T32" s="2">
        <f>SUM(T6:T31)</f>
        <v/>
      </c>
      <c r="U32" s="2">
        <f>SUM(U6:U31)</f>
        <v/>
      </c>
      <c r="Y32" s="9">
        <f>SUM(Y6:Y31)</f>
        <v/>
      </c>
    </row>
  </sheetData>
  <hyperlinks>
    <hyperlink xmlns:r="http://schemas.openxmlformats.org/officeDocument/2006/relationships" ref="AD6" r:id="rId1"/>
    <hyperlink xmlns:r="http://schemas.openxmlformats.org/officeDocument/2006/relationships" ref="AD7" r:id="rId2"/>
    <hyperlink xmlns:r="http://schemas.openxmlformats.org/officeDocument/2006/relationships" ref="AD8" r:id="rId3"/>
    <hyperlink xmlns:r="http://schemas.openxmlformats.org/officeDocument/2006/relationships" ref="AD9" r:id="rId4"/>
    <hyperlink xmlns:r="http://schemas.openxmlformats.org/officeDocument/2006/relationships" ref="AD10" r:id="rId5"/>
    <hyperlink xmlns:r="http://schemas.openxmlformats.org/officeDocument/2006/relationships" ref="AD11" r:id="rId6"/>
    <hyperlink xmlns:r="http://schemas.openxmlformats.org/officeDocument/2006/relationships" ref="AD12" r:id="rId7"/>
    <hyperlink xmlns:r="http://schemas.openxmlformats.org/officeDocument/2006/relationships" ref="AD13" r:id="rId8"/>
    <hyperlink xmlns:r="http://schemas.openxmlformats.org/officeDocument/2006/relationships" ref="AD14" r:id="rId9"/>
    <hyperlink xmlns:r="http://schemas.openxmlformats.org/officeDocument/2006/relationships" ref="AD15" r:id="rId10"/>
    <hyperlink xmlns:r="http://schemas.openxmlformats.org/officeDocument/2006/relationships" ref="AD16" r:id="rId11"/>
    <hyperlink xmlns:r="http://schemas.openxmlformats.org/officeDocument/2006/relationships" ref="AD17" r:id="rId12"/>
    <hyperlink xmlns:r="http://schemas.openxmlformats.org/officeDocument/2006/relationships" ref="AD18" r:id="rId13"/>
    <hyperlink xmlns:r="http://schemas.openxmlformats.org/officeDocument/2006/relationships" ref="AD19" r:id="rId14"/>
    <hyperlink xmlns:r="http://schemas.openxmlformats.org/officeDocument/2006/relationships" ref="AD20" r:id="rId15"/>
    <hyperlink xmlns:r="http://schemas.openxmlformats.org/officeDocument/2006/relationships" ref="AD21" r:id="rId16"/>
    <hyperlink xmlns:r="http://schemas.openxmlformats.org/officeDocument/2006/relationships" ref="AD22" r:id="rId17"/>
    <hyperlink xmlns:r="http://schemas.openxmlformats.org/officeDocument/2006/relationships" ref="AD23" r:id="rId18"/>
    <hyperlink xmlns:r="http://schemas.openxmlformats.org/officeDocument/2006/relationships" ref="AD24" r:id="rId19"/>
    <hyperlink xmlns:r="http://schemas.openxmlformats.org/officeDocument/2006/relationships" ref="AD25" r:id="rId20"/>
    <hyperlink xmlns:r="http://schemas.openxmlformats.org/officeDocument/2006/relationships" ref="AD26" r:id="rId21"/>
    <hyperlink xmlns:r="http://schemas.openxmlformats.org/officeDocument/2006/relationships" ref="AD27" r:id="rId22"/>
    <hyperlink xmlns:r="http://schemas.openxmlformats.org/officeDocument/2006/relationships" ref="AD28" r:id="rId23"/>
    <hyperlink xmlns:r="http://schemas.openxmlformats.org/officeDocument/2006/relationships" ref="AD29" r:id="rId24"/>
    <hyperlink xmlns:r="http://schemas.openxmlformats.org/officeDocument/2006/relationships" ref="AD30" r:id="rId25"/>
    <hyperlink xmlns:r="http://schemas.openxmlformats.org/officeDocument/2006/relationships" ref="AD31" r:id="rId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Metodo e Integrazione Tecnica SunPro (Piacentino A1 &amp; A21)</t>
        </is>
      </c>
    </row>
    <row r="2">
      <c r="A2" t="inlineStr">
        <is>
          <t>1. Asse di A1 e A21 ricavato da OpenStreetMap; scansione iniziale di 68 riquadri da 1,2 km + estensione a griglia sfalsata anti-taglio lungo A1 e A21 in provincia di Piacenza.</t>
        </is>
      </c>
    </row>
    <row r="3">
      <c r="A3" t="inlineStr">
        <is>
          <t>2. Particelle dalla cartografia catastale WMS dell'Agenzia delle Entrate (CP.CadastralParcel e fabbricati): superficie misurata sul disegno (1 m/px); scartate quelle sotto i 2 ha entro i 300 m, quelle con fabbricati e le strisce sottili.</t>
        </is>
      </c>
    </row>
    <row r="4">
      <c r="A4" s="10" t="inlineStr">
        <is>
          <t>3. Coorti integrate nel dataset Piacentino (116 lotti totali verificati WMS AdE):</t>
        </is>
      </c>
    </row>
    <row r="5">
      <c r="A5" t="inlineStr">
        <is>
          <t xml:space="preserve">   • Top 50 Aperta Campagna (foglio Terreni originale): 388,43 ha totali (315,77 ha entro 300 m).</t>
        </is>
      </c>
    </row>
    <row r="6">
      <c r="A6" t="inlineStr">
        <is>
          <t xml:space="preserve">   • 15 Lotti Aperta Campagna Oltre i Primi 50 (foglio Riserve originale): 70,22 ha totali (66,41 ha entro 300 m).</t>
        </is>
      </c>
    </row>
    <row r="7">
      <c r="A7" t="inlineStr">
        <is>
          <t xml:space="preserve">   • 5 Lotti Benchmark Test A1 Pontenure-Cadeo (tagliati dai bordi della prima griglia): 34,90 ha totali (32,00 ha entro 300 m).</t>
        </is>
      </c>
    </row>
    <row r="8">
      <c r="A8" t="inlineStr">
        <is>
          <t xml:space="preserve">   • 20 Nuovi Lotti Aperta Campagna da Estensione Scansione WMS a Griglia Sfalsata: 216.10 ha totali (131.65 ha entro 300 m).</t>
        </is>
      </c>
    </row>
    <row r="9">
      <c r="A9" t="inlineStr">
        <is>
          <t xml:space="preserve">   • 26 Lotti Riserve Periurbane (&lt;250m da zone produttive/residenziali o Le Mose): 180,66 ha totali (154,52 ha entro 300 m).</t>
        </is>
      </c>
    </row>
    <row r="10">
      <c r="A10" s="10" t="inlineStr">
        <is>
          <t>4. Specifiche tecniche SunPro integrate su ogni particella:</t>
        </is>
      </c>
    </row>
    <row r="11">
      <c r="A11" t="inlineStr">
        <is>
          <t xml:space="preserve">   • Distanza Linea AT (132/220/380 kV) e Stazione Elettrica RTN/AT da OpenStreetMap.</t>
        </is>
      </c>
    </row>
    <row r="12">
      <c r="A12" t="inlineStr">
        <is>
          <t xml:space="preserve">   • Cabina Primaria ufficiale ARERA/GSE più vicina, distanza cavidotto MT (routing stradale 1.30x) e stima CAPEX allaccio TICA/STMG (65k €/km + 45k € stallo).</t>
        </is>
      </c>
    </row>
    <row r="13">
      <c r="A13" t="inlineStr">
        <is>
          <t xml:space="preserve">   • Dimensionamento MWp (totale e nella sola fascia ex lege &lt;=300m) + Producibilità annua PVGIS JRC v5.2 (Struttura Fissa vs Tracker Monoassiale +20%).</t>
        </is>
      </c>
    </row>
    <row r="14">
      <c r="A14" t="inlineStr">
        <is>
          <t xml:space="preserve">   • Valore Agricolo Medio VAM 2026 Piacenza (BUR Emilia-Romagna n. 75 del 02/04/2026: 5,45-5,85 €/mq), Target SunPro &lt;=8,00 €/mq, Spesa Max a soglia e Canone Diritto di Superficie 30 anni (3.000 €/ha/anno).</t>
        </is>
      </c>
    </row>
    <row r="15">
      <c r="A15" s="10" t="inlineStr">
        <is>
          <t>5. Verifiche pre-acquisizione raccomandate:</t>
        </is>
      </c>
    </row>
    <row r="16">
      <c r="A16" t="inlineStr">
        <is>
          <t xml:space="preserve">   • Visura catastale per immobile/soggetto su Sister (€ 1,35/particella) partendo dai lotti Priorità 1 (più grandi o con stazione elettrica &lt;= 1,5 km / linea AT &lt;= 150 m).</t>
        </is>
      </c>
    </row>
    <row r="17">
      <c r="A17" t="inlineStr">
        <is>
          <t xml:space="preserve">   • Verifica CDU (PUG/PSC comunale), vincoli paesaggistici/fluviali e certificazioni DOP/IGP/BIO (L.R. Emilia-Romagna 5/2026).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2026-10-21T10:39:03Z</dcterms:created>
  <dcterms:modified xsi:type="dcterms:W3CDTF">2026-10-21T10:39:03Z</dcterms:modified>
</cp:coreProperties>
</file>