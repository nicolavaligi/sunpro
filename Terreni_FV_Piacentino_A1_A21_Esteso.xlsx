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Quadro_Mercato_13_Comuni" sheetId="1" state="visible" r:id="rId1"/>
    <sheet name="2_Fasce_Prezzo_e_Contratti" sheetId="2" state="visible" r:id="rId2"/>
    <sheet name="3_Aperta_Campagna_90_Lotti" sheetId="3" state="visible" r:id="rId3"/>
    <sheet name="4_Riserve_Periurbane_26_Lotti" sheetId="4" state="visible" r:id="rId4"/>
    <sheet name="5_Casi_Reali_e_Guida_Trattativ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.0"/>
    <numFmt numFmtId="165" formatCode="#,##0.00 &quot;€/mq&quot;"/>
    <numFmt numFmtId="166" formatCode="#,##0 &quot;€&quot;"/>
    <numFmt numFmtId="167" formatCode="#,##0 &quot;€/pert.&quot;"/>
    <numFmt numFmtId="168" formatCode="0.0&quot;x&quot;"/>
    <numFmt numFmtId="169" formatCode="+0.0%"/>
    <numFmt numFmtId="170" formatCode="#,##0 &quot;€/pertica&quot;"/>
    <numFmt numFmtId="171" formatCode="#,##0.0 &quot;pert.&quot;"/>
    <numFmt numFmtId="172" formatCode="0.0"/>
    <numFmt numFmtId="173" formatCode="0.000000"/>
  </numFmts>
  <fonts count="11">
    <font>
      <name val="Calibri"/>
      <family val="2"/>
      <color theme="1"/>
      <sz val="11"/>
      <scheme val="minor"/>
    </font>
    <font>
      <name val="Calibri"/>
      <b val="1"/>
      <color rgb="000B1528"/>
      <sz val="15"/>
    </font>
    <font>
      <name val="Calibri"/>
      <i val="1"/>
      <color rgb="00334155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D4ED8"/>
      <sz val="10"/>
    </font>
    <font>
      <name val="Calibri"/>
      <b val="1"/>
      <color rgb="00B45309"/>
      <sz val="10"/>
    </font>
    <font>
      <name val="Calibri"/>
      <b val="1"/>
      <color rgb="00047857"/>
      <sz val="10"/>
    </font>
    <font>
      <name val="Calibri"/>
      <b val="1"/>
      <color rgb="00059669"/>
      <sz val="12"/>
    </font>
    <font>
      <name val="Calibri"/>
      <b val="1"/>
      <color rgb="000284C7"/>
      <sz val="10"/>
      <u val="single"/>
    </font>
  </fonts>
  <fills count="10">
    <fill>
      <patternFill/>
    </fill>
    <fill>
      <patternFill patternType="gray125"/>
    </fill>
    <fill>
      <patternFill patternType="solid">
        <fgColor rgb="000B1528"/>
      </patternFill>
    </fill>
    <fill>
      <patternFill patternType="solid">
        <fgColor rgb="00059669"/>
      </patternFill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FFE4E6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B1528"/>
      </top>
      <bottom style="double">
        <color rgb="000B1528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166" fontId="6" fillId="5" borderId="1" applyAlignment="1" pivotButton="0" quotePrefix="0" xfId="0">
      <alignment horizontal="right" vertical="center" wrapText="1"/>
    </xf>
    <xf numFmtId="167" fontId="6" fillId="5" borderId="1" applyAlignment="1" pivotButton="0" quotePrefix="0" xfId="0">
      <alignment horizontal="right" vertical="center" wrapText="1"/>
    </xf>
    <xf numFmtId="167" fontId="5" fillId="0" borderId="1" applyAlignment="1" pivotButton="0" quotePrefix="0" xfId="0">
      <alignment horizontal="right" vertical="center" wrapText="1"/>
    </xf>
    <xf numFmtId="165" fontId="5" fillId="6" borderId="1" applyAlignment="1" pivotButton="0" quotePrefix="0" xfId="0">
      <alignment horizontal="right" vertical="center" wrapText="1"/>
    </xf>
    <xf numFmtId="166" fontId="7" fillId="7" borderId="1" applyAlignment="1" pivotButton="0" quotePrefix="0" xfId="0">
      <alignment horizontal="right" vertical="center" wrapText="1"/>
    </xf>
    <xf numFmtId="167" fontId="7" fillId="7" borderId="1" applyAlignment="1" pivotButton="0" quotePrefix="0" xfId="0">
      <alignment horizontal="right" vertical="center" wrapText="1"/>
    </xf>
    <xf numFmtId="168" fontId="8" fillId="0" borderId="1" applyAlignment="1" pivotButton="0" quotePrefix="0" xfId="0">
      <alignment horizontal="right" vertical="center" wrapText="1"/>
    </xf>
    <xf numFmtId="165" fontId="8" fillId="8" borderId="1" applyAlignment="1" pivotButton="0" quotePrefix="0" xfId="0">
      <alignment horizontal="right" vertical="center" wrapText="1"/>
    </xf>
    <xf numFmtId="166" fontId="8" fillId="8" borderId="1" applyAlignment="1" pivotButton="0" quotePrefix="0" xfId="0">
      <alignment horizontal="right" vertical="center" wrapText="1"/>
    </xf>
    <xf numFmtId="167" fontId="8" fillId="8" borderId="1" applyAlignment="1" pivotButton="0" quotePrefix="0" xfId="0">
      <alignment horizontal="right" vertical="center" wrapText="1"/>
    </xf>
    <xf numFmtId="169" fontId="8" fillId="8" borderId="1" applyAlignment="1" pivotButton="0" quotePrefix="0" xfId="0">
      <alignment horizontal="right" vertical="center" wrapText="1"/>
    </xf>
    <xf numFmtId="0" fontId="4" fillId="9" borderId="2" pivotButton="0" quotePrefix="0" xfId="0"/>
    <xf numFmtId="164" fontId="4" fillId="9" borderId="2" pivotButton="0" quotePrefix="0" xfId="0"/>
    <xf numFmtId="165" fontId="4" fillId="9" borderId="2" pivotButton="0" quotePrefix="0" xfId="0"/>
    <xf numFmtId="166" fontId="4" fillId="9" borderId="2" pivotButton="0" quotePrefix="0" xfId="0"/>
    <xf numFmtId="167" fontId="4" fillId="9" borderId="2" pivotButton="0" quotePrefix="0" xfId="0"/>
    <xf numFmtId="168" fontId="4" fillId="9" borderId="2" pivotButton="0" quotePrefix="0" xfId="0"/>
    <xf numFmtId="169" fontId="4" fillId="9" borderId="2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165" fontId="5" fillId="8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165" fontId="6" fillId="7" borderId="0" pivotButton="0" quotePrefix="0" xfId="0"/>
    <xf numFmtId="170" fontId="6" fillId="7" borderId="0" pivotButton="0" quotePrefix="0" xfId="0"/>
    <xf numFmtId="4" fontId="4" fillId="0" borderId="1" applyAlignment="1" pivotButton="0" quotePrefix="0" xfId="0">
      <alignment horizontal="right" vertical="center" wrapText="1"/>
    </xf>
    <xf numFmtId="171" fontId="5" fillId="0" borderId="1" applyAlignment="1" pivotButton="0" quotePrefix="0" xfId="0">
      <alignment horizontal="right" vertical="center" wrapText="1"/>
    </xf>
    <xf numFmtId="3" fontId="5" fillId="0" borderId="1" applyAlignment="1" pivotButton="0" quotePrefix="0" xfId="0">
      <alignment horizontal="right" vertical="center" wrapText="1"/>
    </xf>
    <xf numFmtId="172" fontId="5" fillId="0" borderId="1" applyAlignment="1" pivotButton="0" quotePrefix="0" xfId="0">
      <alignment horizontal="right" vertical="center" wrapText="1"/>
    </xf>
    <xf numFmtId="4" fontId="5" fillId="0" borderId="1" applyAlignment="1" pivotButton="0" quotePrefix="0" xfId="0">
      <alignment horizontal="right" vertical="center" wrapText="1"/>
    </xf>
    <xf numFmtId="166" fontId="5" fillId="7" borderId="1" applyAlignment="1" pivotButton="0" quotePrefix="0" xfId="0">
      <alignment horizontal="right" vertical="center" wrapText="1"/>
    </xf>
    <xf numFmtId="172" fontId="8" fillId="0" borderId="1" applyAlignment="1" pivotButton="0" quotePrefix="0" xfId="0">
      <alignment horizontal="right" vertical="center" wrapText="1"/>
    </xf>
    <xf numFmtId="173" fontId="5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right" vertical="center" wrapText="1"/>
    </xf>
    <xf numFmtId="167" fontId="5" fillId="7" borderId="1" applyAlignment="1" pivotButton="0" quotePrefix="0" xfId="0">
      <alignment horizontal="right" vertical="center" wrapText="1"/>
    </xf>
    <xf numFmtId="172" fontId="4" fillId="9" borderId="2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ogle.com/maps?q=45.067204,9.559271&amp;t=k&amp;z=17" TargetMode="External" Id="rId1" /><Relationship Type="http://schemas.openxmlformats.org/officeDocument/2006/relationships/hyperlink" Target="https://www.google.com/maps?q=45.04464,9.843602&amp;t=k&amp;z=17" TargetMode="External" Id="rId2" /><Relationship Type="http://schemas.openxmlformats.org/officeDocument/2006/relationships/hyperlink" Target="https://www.google.com/maps?q=44.994,9.8275&amp;t=k&amp;z=17" TargetMode="External" Id="rId3" /><Relationship Type="http://schemas.openxmlformats.org/officeDocument/2006/relationships/hyperlink" Target="https://www.google.com/maps?q=45.050136,9.850314&amp;t=k&amp;z=17" TargetMode="External" Id="rId4" /><Relationship Type="http://schemas.openxmlformats.org/officeDocument/2006/relationships/hyperlink" Target="https://www.google.com/maps?q=44.991964,9.828073&amp;t=k&amp;z=17" TargetMode="External" Id="rId5" /><Relationship Type="http://schemas.openxmlformats.org/officeDocument/2006/relationships/hyperlink" Target="https://www.google.com/maps?q=45.06626,9.569873&amp;t=k&amp;z=17" TargetMode="External" Id="rId6" /><Relationship Type="http://schemas.openxmlformats.org/officeDocument/2006/relationships/hyperlink" Target="https://www.google.com/maps?q=44.995798,9.831311&amp;t=k&amp;z=17" TargetMode="External" Id="rId7" /><Relationship Type="http://schemas.openxmlformats.org/officeDocument/2006/relationships/hyperlink" Target="https://www.google.com/maps?q=45.066237,9.579211&amp;t=k&amp;z=17" TargetMode="External" Id="rId8" /><Relationship Type="http://schemas.openxmlformats.org/officeDocument/2006/relationships/hyperlink" Target="https://www.google.com/maps?q=45.052923,9.860662&amp;t=k&amp;z=17" TargetMode="External" Id="rId9" /><Relationship Type="http://schemas.openxmlformats.org/officeDocument/2006/relationships/hyperlink" Target="https://www.google.com/maps?q=45.063272,9.565767&amp;t=k&amp;z=17" TargetMode="External" Id="rId10" /><Relationship Type="http://schemas.openxmlformats.org/officeDocument/2006/relationships/hyperlink" Target="https://www.google.com/maps?q=45.059487,9.919453&amp;t=k&amp;z=17" TargetMode="External" Id="rId11" /><Relationship Type="http://schemas.openxmlformats.org/officeDocument/2006/relationships/hyperlink" Target="https://www.google.com/maps?q=45.068114,9.573417&amp;t=k&amp;z=17" TargetMode="External" Id="rId12" /><Relationship Type="http://schemas.openxmlformats.org/officeDocument/2006/relationships/hyperlink" Target="https://www.google.com/maps?q=45.063751,9.54148&amp;t=k&amp;z=17" TargetMode="External" Id="rId13" /><Relationship Type="http://schemas.openxmlformats.org/officeDocument/2006/relationships/hyperlink" Target="https://www.google.com/maps?q=45.045056,9.851336&amp;t=k&amp;z=17" TargetMode="External" Id="rId14" /><Relationship Type="http://schemas.openxmlformats.org/officeDocument/2006/relationships/hyperlink" Target="https://www.google.com/maps?q=45.065325,9.618428&amp;t=k&amp;z=17" TargetMode="External" Id="rId15" /><Relationship Type="http://schemas.openxmlformats.org/officeDocument/2006/relationships/hyperlink" Target="https://www.google.com/maps?q=44.9965,9.8285&amp;t=k&amp;z=17" TargetMode="External" Id="rId16" /><Relationship Type="http://schemas.openxmlformats.org/officeDocument/2006/relationships/hyperlink" Target="https://www.google.com/maps?q=45.048215,9.824691&amp;t=k&amp;z=17" TargetMode="External" Id="rId17" /><Relationship Type="http://schemas.openxmlformats.org/officeDocument/2006/relationships/hyperlink" Target="https://www.google.com/maps?q=45.061272,9.925847&amp;t=k&amp;z=17" TargetMode="External" Id="rId18" /><Relationship Type="http://schemas.openxmlformats.org/officeDocument/2006/relationships/hyperlink" Target="https://www.google.com/maps?q=45.064574,9.621185&amp;t=k&amp;z=17" TargetMode="External" Id="rId19" /><Relationship Type="http://schemas.openxmlformats.org/officeDocument/2006/relationships/hyperlink" Target="https://www.google.com/maps?q=45.064243,9.956639&amp;t=k&amp;z=17" TargetMode="External" Id="rId20" /><Relationship Type="http://schemas.openxmlformats.org/officeDocument/2006/relationships/hyperlink" Target="https://www.google.com/maps?q=45.057063,9.931082&amp;t=k&amp;z=17" TargetMode="External" Id="rId21" /><Relationship Type="http://schemas.openxmlformats.org/officeDocument/2006/relationships/hyperlink" Target="https://www.google.com/maps?q=45.073734,9.970963&amp;t=k&amp;z=17" TargetMode="External" Id="rId22" /><Relationship Type="http://schemas.openxmlformats.org/officeDocument/2006/relationships/hyperlink" Target="https://www.google.com/maps?q=45.061431,9.929875&amp;t=k&amp;z=17" TargetMode="External" Id="rId23" /><Relationship Type="http://schemas.openxmlformats.org/officeDocument/2006/relationships/hyperlink" Target="https://www.google.com/maps?q=44.972525,9.876535&amp;t=k&amp;z=17" TargetMode="External" Id="rId24" /><Relationship Type="http://schemas.openxmlformats.org/officeDocument/2006/relationships/hyperlink" Target="https://www.google.com/maps?q=45.061742,9.571556&amp;t=k&amp;z=17" TargetMode="External" Id="rId25" /><Relationship Type="http://schemas.openxmlformats.org/officeDocument/2006/relationships/hyperlink" Target="https://www.google.com/maps?q=45.058804,9.942527&amp;t=k&amp;z=17" TargetMode="External" Id="rId26" /><Relationship Type="http://schemas.openxmlformats.org/officeDocument/2006/relationships/hyperlink" Target="https://www.google.com/maps?q=45.024712,9.771422&amp;t=k&amp;z=17" TargetMode="External" Id="rId27" /><Relationship Type="http://schemas.openxmlformats.org/officeDocument/2006/relationships/hyperlink" Target="https://www.google.com/maps?q=45.059068,9.742343&amp;t=k&amp;z=17" TargetMode="External" Id="rId28" /><Relationship Type="http://schemas.openxmlformats.org/officeDocument/2006/relationships/hyperlink" Target="https://www.google.com/maps?q=45.0614,9.616052&amp;t=k&amp;z=17" TargetMode="External" Id="rId29" /><Relationship Type="http://schemas.openxmlformats.org/officeDocument/2006/relationships/hyperlink" Target="https://www.google.com/maps?q=44.979218,9.870918&amp;t=k&amp;z=17" TargetMode="External" Id="rId30" /><Relationship Type="http://schemas.openxmlformats.org/officeDocument/2006/relationships/hyperlink" Target="https://www.google.com/maps?q=44.973085,9.883344&amp;t=k&amp;z=17" TargetMode="External" Id="rId31" /><Relationship Type="http://schemas.openxmlformats.org/officeDocument/2006/relationships/hyperlink" Target="https://www.google.com/maps?q=45.055931,9.89555&amp;t=k&amp;z=17" TargetMode="External" Id="rId32" /><Relationship Type="http://schemas.openxmlformats.org/officeDocument/2006/relationships/hyperlink" Target="https://www.google.com/maps?q=44.9965,9.821&amp;t=k&amp;z=17" TargetMode="External" Id="rId33" /><Relationship Type="http://schemas.openxmlformats.org/officeDocument/2006/relationships/hyperlink" Target="https://www.google.com/maps?q=45.070816,9.965073&amp;t=k&amp;z=17" TargetMode="External" Id="rId34" /><Relationship Type="http://schemas.openxmlformats.org/officeDocument/2006/relationships/hyperlink" Target="https://www.google.com/maps?q=45.059985,9.923683&amp;t=k&amp;z=17" TargetMode="External" Id="rId35" /><Relationship Type="http://schemas.openxmlformats.org/officeDocument/2006/relationships/hyperlink" Target="https://www.google.com/maps?q=45.047742,9.84505&amp;t=k&amp;z=17" TargetMode="External" Id="rId36" /><Relationship Type="http://schemas.openxmlformats.org/officeDocument/2006/relationships/hyperlink" Target="https://www.google.com/maps?q=45.047697,9.834912&amp;t=k&amp;z=17" TargetMode="External" Id="rId37" /><Relationship Type="http://schemas.openxmlformats.org/officeDocument/2006/relationships/hyperlink" Target="https://www.google.com/maps?q=44.938398,9.967054&amp;t=k&amp;z=17" TargetMode="External" Id="rId38" /><Relationship Type="http://schemas.openxmlformats.org/officeDocument/2006/relationships/hyperlink" Target="https://www.google.com/maps?q=44.976968,9.866965&amp;t=k&amp;z=17" TargetMode="External" Id="rId39" /><Relationship Type="http://schemas.openxmlformats.org/officeDocument/2006/relationships/hyperlink" Target="https://www.google.com/maps?q=45.082477,9.414815&amp;t=k&amp;z=17" TargetMode="External" Id="rId40" /><Relationship Type="http://schemas.openxmlformats.org/officeDocument/2006/relationships/hyperlink" Target="https://www.google.com/maps?q=45.069062,9.479824&amp;t=k&amp;z=17" TargetMode="External" Id="rId41" /><Relationship Type="http://schemas.openxmlformats.org/officeDocument/2006/relationships/hyperlink" Target="https://www.google.com/maps?q=44.998189,9.814251&amp;t=k&amp;z=17" TargetMode="External" Id="rId42" /><Relationship Type="http://schemas.openxmlformats.org/officeDocument/2006/relationships/hyperlink" Target="https://www.google.com/maps?q=44.988901,9.849365&amp;t=k&amp;z=17" TargetMode="External" Id="rId43" /><Relationship Type="http://schemas.openxmlformats.org/officeDocument/2006/relationships/hyperlink" Target="https://www.google.com/maps?q=44.984705,9.845846&amp;t=k&amp;z=17" TargetMode="External" Id="rId44" /><Relationship Type="http://schemas.openxmlformats.org/officeDocument/2006/relationships/hyperlink" Target="https://www.google.com/maps?q=45.047871,9.831259&amp;t=k&amp;z=17" TargetMode="External" Id="rId45" /><Relationship Type="http://schemas.openxmlformats.org/officeDocument/2006/relationships/hyperlink" Target="https://www.google.com/maps?q=45.068466,9.956767&amp;t=k&amp;z=17" TargetMode="External" Id="rId46" /><Relationship Type="http://schemas.openxmlformats.org/officeDocument/2006/relationships/hyperlink" Target="https://www.google.com/maps?q=45.077314,9.975459&amp;t=k&amp;z=17" TargetMode="External" Id="rId47" /><Relationship Type="http://schemas.openxmlformats.org/officeDocument/2006/relationships/hyperlink" Target="https://www.google.com/maps?q=45.078836,9.436467&amp;t=k&amp;z=17" TargetMode="External" Id="rId48" /><Relationship Type="http://schemas.openxmlformats.org/officeDocument/2006/relationships/hyperlink" Target="https://www.google.com/maps?q=44.979369,9.863316&amp;t=k&amp;z=17" TargetMode="External" Id="rId49" /><Relationship Type="http://schemas.openxmlformats.org/officeDocument/2006/relationships/hyperlink" Target="https://www.google.com/maps?q=45.064446,9.558344&amp;t=k&amp;z=17" TargetMode="External" Id="rId50" /><Relationship Type="http://schemas.openxmlformats.org/officeDocument/2006/relationships/hyperlink" Target="https://www.google.com/maps?q=44.985103,9.859048&amp;t=k&amp;z=17" TargetMode="External" Id="rId51" /><Relationship Type="http://schemas.openxmlformats.org/officeDocument/2006/relationships/hyperlink" Target="https://www.google.com/maps?q=45.006448,9.80446&amp;t=k&amp;z=17" TargetMode="External" Id="rId52" /><Relationship Type="http://schemas.openxmlformats.org/officeDocument/2006/relationships/hyperlink" Target="https://www.google.com/maps?q=45.065028,9.590605&amp;t=k&amp;z=17" TargetMode="External" Id="rId53" /><Relationship Type="http://schemas.openxmlformats.org/officeDocument/2006/relationships/hyperlink" Target="https://www.google.com/maps?q=44.987516,9.838506&amp;t=k&amp;z=17" TargetMode="External" Id="rId54" /><Relationship Type="http://schemas.openxmlformats.org/officeDocument/2006/relationships/hyperlink" Target="https://www.google.com/maps?q=44.981234,9.86569&amp;t=k&amp;z=17" TargetMode="External" Id="rId55" /><Relationship Type="http://schemas.openxmlformats.org/officeDocument/2006/relationships/hyperlink" Target="https://www.google.com/maps?q=44.961426,9.906014&amp;t=k&amp;z=17" TargetMode="External" Id="rId56" /><Relationship Type="http://schemas.openxmlformats.org/officeDocument/2006/relationships/hyperlink" Target="https://www.google.com/maps?q=45.002674,9.813984&amp;t=k&amp;z=17" TargetMode="External" Id="rId57" /><Relationship Type="http://schemas.openxmlformats.org/officeDocument/2006/relationships/hyperlink" Target="https://www.google.com/maps?q=45.067571,9.95946&amp;t=k&amp;z=17" TargetMode="External" Id="rId58" /><Relationship Type="http://schemas.openxmlformats.org/officeDocument/2006/relationships/hyperlink" Target="https://www.google.com/maps?q=44.989923,9.84549&amp;t=k&amp;z=17" TargetMode="External" Id="rId59" /><Relationship Type="http://schemas.openxmlformats.org/officeDocument/2006/relationships/hyperlink" Target="https://www.google.com/maps?q=44.953508,9.922945&amp;t=k&amp;z=17" TargetMode="External" Id="rId60" /><Relationship Type="http://schemas.openxmlformats.org/officeDocument/2006/relationships/hyperlink" Target="https://www.google.com/maps?q=44.980825,9.858222&amp;t=k&amp;z=17" TargetMode="External" Id="rId61" /><Relationship Type="http://schemas.openxmlformats.org/officeDocument/2006/relationships/hyperlink" Target="https://www.google.com/maps?q=45.056629,9.914016&amp;t=k&amp;z=17" TargetMode="External" Id="rId62" /><Relationship Type="http://schemas.openxmlformats.org/officeDocument/2006/relationships/hyperlink" Target="https://www.google.com/maps?q=44.956972,9.916694&amp;t=k&amp;z=17" TargetMode="External" Id="rId63" /><Relationship Type="http://schemas.openxmlformats.org/officeDocument/2006/relationships/hyperlink" Target="https://www.google.com/maps?q=44.957977,9.912528&amp;t=k&amp;z=17" TargetMode="External" Id="rId64" /><Relationship Type="http://schemas.openxmlformats.org/officeDocument/2006/relationships/hyperlink" Target="https://www.google.com/maps?q=45.056553,9.740095&amp;t=k&amp;z=17" TargetMode="External" Id="rId65" /><Relationship Type="http://schemas.openxmlformats.org/officeDocument/2006/relationships/hyperlink" Target="https://www.google.com/maps?q=45.055278,9.926408&amp;t=k&amp;z=17" TargetMode="External" Id="rId66" /><Relationship Type="http://schemas.openxmlformats.org/officeDocument/2006/relationships/hyperlink" Target="https://www.google.com/maps?q=44.971448,9.882303&amp;t=k&amp;z=17" TargetMode="External" Id="rId67" /><Relationship Type="http://schemas.openxmlformats.org/officeDocument/2006/relationships/hyperlink" Target="https://www.google.com/maps?q=45.069647,9.491875&amp;t=k&amp;z=17" TargetMode="External" Id="rId68" /><Relationship Type="http://schemas.openxmlformats.org/officeDocument/2006/relationships/hyperlink" Target="https://www.google.com/maps?q=44.962776,9.90655&amp;t=k&amp;z=17" TargetMode="External" Id="rId69" /><Relationship Type="http://schemas.openxmlformats.org/officeDocument/2006/relationships/hyperlink" Target="https://www.google.com/maps?q=45.077232,9.970022&amp;t=k&amp;z=17" TargetMode="External" Id="rId70" /><Relationship Type="http://schemas.openxmlformats.org/officeDocument/2006/relationships/hyperlink" Target="https://www.google.com/maps?q=44.993467,9.835876&amp;t=k&amp;z=17" TargetMode="External" Id="rId71" /><Relationship Type="http://schemas.openxmlformats.org/officeDocument/2006/relationships/hyperlink" Target="https://www.google.com/maps?q=45.082224,9.418041&amp;t=k&amp;z=17" TargetMode="External" Id="rId72" /><Relationship Type="http://schemas.openxmlformats.org/officeDocument/2006/relationships/hyperlink" Target="https://www.google.com/maps?q=44.958663,9.917406&amp;t=k&amp;z=17" TargetMode="External" Id="rId73" /><Relationship Type="http://schemas.openxmlformats.org/officeDocument/2006/relationships/hyperlink" Target="https://www.google.com/maps?q=45.057976,9.93657&amp;t=k&amp;z=17" TargetMode="External" Id="rId74" /><Relationship Type="http://schemas.openxmlformats.org/officeDocument/2006/relationships/hyperlink" Target="https://www.google.com/maps?q=45.062917,9.560313&amp;t=k&amp;z=17" TargetMode="External" Id="rId75" /><Relationship Type="http://schemas.openxmlformats.org/officeDocument/2006/relationships/hyperlink" Target="https://www.google.com/maps?q=45.06319,9.940367&amp;t=k&amp;z=17" TargetMode="External" Id="rId76" /><Relationship Type="http://schemas.openxmlformats.org/officeDocument/2006/relationships/hyperlink" Target="https://www.google.com/maps?q=44.941347,9.950054&amp;t=k&amp;z=17" TargetMode="External" Id="rId77" /><Relationship Type="http://schemas.openxmlformats.org/officeDocument/2006/relationships/hyperlink" Target="https://www.google.com/maps?q=45.072668,9.491939&amp;t=k&amp;z=17" TargetMode="External" Id="rId78" /><Relationship Type="http://schemas.openxmlformats.org/officeDocument/2006/relationships/hyperlink" Target="https://www.google.com/maps?q=45.060834,9.934042&amp;t=k&amp;z=17" TargetMode="External" Id="rId79" /><Relationship Type="http://schemas.openxmlformats.org/officeDocument/2006/relationships/hyperlink" Target="https://www.google.com/maps?q=45.064337,9.552919&amp;t=k&amp;z=17" TargetMode="External" Id="rId80" /><Relationship Type="http://schemas.openxmlformats.org/officeDocument/2006/relationships/hyperlink" Target="https://www.google.com/maps?q=45.0799,9.972448&amp;t=k&amp;z=17" TargetMode="External" Id="rId81" /><Relationship Type="http://schemas.openxmlformats.org/officeDocument/2006/relationships/hyperlink" Target="https://www.google.com/maps?q=45.078878,9.42278&amp;t=k&amp;z=17" TargetMode="External" Id="rId82" /><Relationship Type="http://schemas.openxmlformats.org/officeDocument/2006/relationships/hyperlink" Target="https://www.google.com/maps?q=45.068866,9.548037&amp;t=k&amp;z=17" TargetMode="External" Id="rId83" /><Relationship Type="http://schemas.openxmlformats.org/officeDocument/2006/relationships/hyperlink" Target="https://www.google.com/maps?q=44.931055,9.973141&amp;t=k&amp;z=17" TargetMode="External" Id="rId84" /><Relationship Type="http://schemas.openxmlformats.org/officeDocument/2006/relationships/hyperlink" Target="https://www.google.com/maps?q=45.055404,9.932962&amp;t=k&amp;z=17" TargetMode="External" Id="rId85" /><Relationship Type="http://schemas.openxmlformats.org/officeDocument/2006/relationships/hyperlink" Target="https://www.google.com/maps?q=44.982977,9.861957&amp;t=k&amp;z=17" TargetMode="External" Id="rId86" /><Relationship Type="http://schemas.openxmlformats.org/officeDocument/2006/relationships/hyperlink" Target="https://www.google.com/maps?q=44.96107,9.912464&amp;t=k&amp;z=17" TargetMode="External" Id="rId87" /><Relationship Type="http://schemas.openxmlformats.org/officeDocument/2006/relationships/hyperlink" Target="https://www.google.com/maps?q=44.9972,9.8185&amp;t=k&amp;z=17" TargetMode="External" Id="rId88" /><Relationship Type="http://schemas.openxmlformats.org/officeDocument/2006/relationships/hyperlink" Target="https://www.google.com/maps?q=45.062372,9.568394&amp;t=k&amp;z=17" TargetMode="External" Id="rId89" /><Relationship Type="http://schemas.openxmlformats.org/officeDocument/2006/relationships/hyperlink" Target="https://www.google.com/maps?q=44.999,9.822&amp;t=k&amp;z=17" TargetMode="External" Id="rId9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?q=45.048762,9.760785&amp;t=k&amp;z=17" TargetMode="External" Id="rId1" /><Relationship Type="http://schemas.openxmlformats.org/officeDocument/2006/relationships/hyperlink" Target="https://www.google.com/maps?q=45.055242,9.737135&amp;t=k&amp;z=17" TargetMode="External" Id="rId2" /><Relationship Type="http://schemas.openxmlformats.org/officeDocument/2006/relationships/hyperlink" Target="https://www.google.com/maps?q=45.000605,9.809872&amp;t=k&amp;z=17" TargetMode="External" Id="rId3" /><Relationship Type="http://schemas.openxmlformats.org/officeDocument/2006/relationships/hyperlink" Target="https://www.google.com/maps?q=45.043973,9.824945&amp;t=k&amp;z=17" TargetMode="External" Id="rId4" /><Relationship Type="http://schemas.openxmlformats.org/officeDocument/2006/relationships/hyperlink" Target="https://www.google.com/maps?q=45.043184,9.838266&amp;t=k&amp;z=17" TargetMode="External" Id="rId5" /><Relationship Type="http://schemas.openxmlformats.org/officeDocument/2006/relationships/hyperlink" Target="https://www.google.com/maps?q=45.052295,9.76821&amp;t=k&amp;z=17" TargetMode="External" Id="rId6" /><Relationship Type="http://schemas.openxmlformats.org/officeDocument/2006/relationships/hyperlink" Target="https://www.google.com/maps?q=45.060423,9.943988&amp;t=k&amp;z=17" TargetMode="External" Id="rId7" /><Relationship Type="http://schemas.openxmlformats.org/officeDocument/2006/relationships/hyperlink" Target="https://www.google.com/maps?q=45.05615,9.92301&amp;t=k&amp;z=17" TargetMode="External" Id="rId8" /><Relationship Type="http://schemas.openxmlformats.org/officeDocument/2006/relationships/hyperlink" Target="https://www.google.com/maps?q=45.037115,9.764968&amp;t=k&amp;z=17" TargetMode="External" Id="rId9" /><Relationship Type="http://schemas.openxmlformats.org/officeDocument/2006/relationships/hyperlink" Target="https://www.google.com/maps?q=45.051189,9.783466&amp;t=k&amp;z=17" TargetMode="External" Id="rId10" /><Relationship Type="http://schemas.openxmlformats.org/officeDocument/2006/relationships/hyperlink" Target="https://www.google.com/maps?q=45.067028,9.953616&amp;t=k&amp;z=17" TargetMode="External" Id="rId11" /><Relationship Type="http://schemas.openxmlformats.org/officeDocument/2006/relationships/hyperlink" Target="https://www.google.com/maps?q=45.075397,9.465379&amp;t=k&amp;z=17" TargetMode="External" Id="rId12" /><Relationship Type="http://schemas.openxmlformats.org/officeDocument/2006/relationships/hyperlink" Target="https://www.google.com/maps?q=45.059079,9.895398&amp;t=k&amp;z=17" TargetMode="External" Id="rId13" /><Relationship Type="http://schemas.openxmlformats.org/officeDocument/2006/relationships/hyperlink" Target="https://www.google.com/maps?q=45.059881,9.654046&amp;t=k&amp;z=17" TargetMode="External" Id="rId14" /><Relationship Type="http://schemas.openxmlformats.org/officeDocument/2006/relationships/hyperlink" Target="https://www.google.com/maps?q=45.061374,9.598748&amp;t=k&amp;z=17" TargetMode="External" Id="rId15" /><Relationship Type="http://schemas.openxmlformats.org/officeDocument/2006/relationships/hyperlink" Target="https://www.google.com/maps?q=45.048813,9.773546&amp;t=k&amp;z=17" TargetMode="External" Id="rId16" /><Relationship Type="http://schemas.openxmlformats.org/officeDocument/2006/relationships/hyperlink" Target="https://www.google.com/maps?q=45.051831,9.780048&amp;t=k&amp;z=17" TargetMode="External" Id="rId17" /><Relationship Type="http://schemas.openxmlformats.org/officeDocument/2006/relationships/hyperlink" Target="https://www.google.com/maps?q=45.063027,9.943454&amp;t=k&amp;z=17" TargetMode="External" Id="rId18" /><Relationship Type="http://schemas.openxmlformats.org/officeDocument/2006/relationships/hyperlink" Target="https://www.google.com/maps?q=44.965322,9.896571&amp;t=k&amp;z=17" TargetMode="External" Id="rId19" /><Relationship Type="http://schemas.openxmlformats.org/officeDocument/2006/relationships/hyperlink" Target="https://www.google.com/maps?q=45.053872,9.758993&amp;t=k&amp;z=17" TargetMode="External" Id="rId20" /><Relationship Type="http://schemas.openxmlformats.org/officeDocument/2006/relationships/hyperlink" Target="https://www.google.com/maps?q=44.962075,9.901297&amp;t=k&amp;z=17" TargetMode="External" Id="rId21" /><Relationship Type="http://schemas.openxmlformats.org/officeDocument/2006/relationships/hyperlink" Target="https://www.google.com/maps?q=44.967203,9.897651&amp;t=k&amp;z=17" TargetMode="External" Id="rId22" /><Relationship Type="http://schemas.openxmlformats.org/officeDocument/2006/relationships/hyperlink" Target="https://www.google.com/maps?q=45.051764,9.764596&amp;t=k&amp;z=17" TargetMode="External" Id="rId23" /><Relationship Type="http://schemas.openxmlformats.org/officeDocument/2006/relationships/hyperlink" Target="https://www.google.com/maps?q=45.062611,9.666918&amp;t=k&amp;z=17" TargetMode="External" Id="rId24" /><Relationship Type="http://schemas.openxmlformats.org/officeDocument/2006/relationships/hyperlink" Target="https://www.google.com/maps?q=45.063441,9.633849&amp;t=k&amp;z=17" TargetMode="External" Id="rId25" /><Relationship Type="http://schemas.openxmlformats.org/officeDocument/2006/relationships/hyperlink" Target="https://www.google.com/maps?q=45.060433,9.683897&amp;t=k&amp;z=17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2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38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30" customWidth="1" min="33" max="33"/>
    <col width="32" customWidth="1" min="34" max="34"/>
    <col width="55" customWidth="1" min="35" max="35"/>
  </cols>
  <sheetData>
    <row r="1">
      <c r="A1" s="1" t="inlineStr">
        <is>
          <t>SUNPRO GEO-INTELLIGENCE 3D — ANALISI MERCATO IMMOBILIARE REALE &amp; COMPARABILI PER I 13 COMUNI DEL CLUSTER PIACENTINO (A1 &amp; A21)</t>
        </is>
      </c>
    </row>
    <row r="2">
      <c r="A2" s="2" t="inlineStr">
        <is>
          <t>Confronto tra Valori Amministrativi (VAM), Compravendite Reali a Rogito (CREA / CCIAA Piacenza), Annunci Immobiliari in Zona (Idealista / Immobiliare.it / Agenzie Locali), Aste Giudiziarie (IVG Piacenza), Terreni Industriali Zona D e Offerte Fotovoltaico Utility-Scale. (1 Pertica Piacentina = 762,02 mq | 1 Ettaro = 13,123 Pertiche).</t>
        </is>
      </c>
    </row>
    <row r="4" ht="36" customHeight="1">
      <c r="A4" s="3" t="inlineStr">
        <is>
          <t>Comune</t>
        </is>
      </c>
      <c r="B4" s="3" t="inlineStr">
        <is>
          <t>Asse Autostrada</t>
        </is>
      </c>
      <c r="C4" s="3" t="inlineStr">
        <is>
          <t>Regione Agraria Ufficiale</t>
        </is>
      </c>
      <c r="D4" s="3" t="inlineStr">
        <is>
          <t>Lotti Tot. Mappa</t>
        </is>
      </c>
      <c r="E4" s="3" t="inlineStr">
        <is>
          <t>Lotti Aperta Campagna</t>
        </is>
      </c>
      <c r="F4" s="3" t="inlineStr">
        <is>
          <t>Lotti Riserve Periurbane</t>
        </is>
      </c>
      <c r="G4" s="3" t="inlineStr">
        <is>
          <t>Sup. Totale Mappa (ha)</t>
        </is>
      </c>
      <c r="H4" s="3" t="inlineStr">
        <is>
          <t>Sup. Entro 300m (ha)</t>
        </is>
      </c>
      <c r="I4" s="3" t="inlineStr">
        <is>
          <t>Sup. Entro 300m (Pertiche P.ne)</t>
        </is>
      </c>
      <c r="J4" s="3" t="inlineStr">
        <is>
          <t>VAM Ufficiale Amministrativo (€/mq)</t>
        </is>
      </c>
      <c r="K4" s="3" t="inlineStr">
        <is>
          <t>VAM Ufficiale (€/ha)</t>
        </is>
      </c>
      <c r="L4" s="4" t="inlineStr">
        <is>
          <t>ROGITO REALE Agricolo Min (€/mq)</t>
        </is>
      </c>
      <c r="M4" s="4" t="inlineStr">
        <is>
          <t>ROGITO REALE Agricolo Max (€/mq)</t>
        </is>
      </c>
      <c r="N4" s="4" t="inlineStr">
        <is>
          <t>ROGITO REALE Agricolo Media (€/mq)</t>
        </is>
      </c>
      <c r="O4" s="4" t="inlineStr">
        <is>
          <t>ROGITO REALE Media (€/Ettaro)</t>
        </is>
      </c>
      <c r="P4" s="4" t="inlineStr">
        <is>
          <t>ROGITO REALE Media (€/Pertica 762mq)</t>
        </is>
      </c>
      <c r="Q4" s="4" t="inlineStr">
        <is>
          <t>ANNUNCI PORTALI Richiesta Min (€/mq)</t>
        </is>
      </c>
      <c r="R4" s="4" t="inlineStr">
        <is>
          <t>ANNUNCI PORTALI Richiesta Max (€/mq)</t>
        </is>
      </c>
      <c r="S4" s="4" t="inlineStr">
        <is>
          <t>ANNUNCI PORTALI Media (€/Pertica 762mq)</t>
        </is>
      </c>
      <c r="T4" s="5" t="inlineStr">
        <is>
          <t>ASTE GIUDIZIARIE Base CTU (€/mq)</t>
        </is>
      </c>
      <c r="U4" s="5" t="inlineStr">
        <is>
          <t>TERRENO INDUSTRIALE Zona D Min (€/mq)</t>
        </is>
      </c>
      <c r="V4" s="5" t="inlineStr">
        <is>
          <t>TERRENO INDUSTRIALE Zona D Max (€/mq)</t>
        </is>
      </c>
      <c r="W4" s="5" t="inlineStr">
        <is>
          <t>Polo Produttivo / Logistico di Riferimento</t>
        </is>
      </c>
      <c r="X4" s="3" t="inlineStr">
        <is>
          <t>Affitto Agrario Reale (€/ha/anno)</t>
        </is>
      </c>
      <c r="Y4" s="3" t="inlineStr">
        <is>
          <t>Affitto Agrario Reale (€/Pertica/anno)</t>
        </is>
      </c>
      <c r="Z4" s="3" t="inlineStr">
        <is>
          <t>Canone DDS Fotovoltaico (€/ha/anno)</t>
        </is>
      </c>
      <c r="AA4" s="3" t="inlineStr">
        <is>
          <t>Canone DDS Fotovoltaico (€/Pertica/anno)</t>
        </is>
      </c>
      <c r="AB4" s="3" t="inlineStr">
        <is>
          <t>Moltiplicatore Rendita DDS vs Affitto</t>
        </is>
      </c>
      <c r="AC4" s="3" t="inlineStr">
        <is>
          <t>OFFERTA ACQUISTO FV Consigliata (€/mq)</t>
        </is>
      </c>
      <c r="AD4" s="3" t="inlineStr">
        <is>
          <t>OFFERTA ACQUISTO FV (€/Ettaro)</t>
        </is>
      </c>
      <c r="AE4" s="3" t="inlineStr">
        <is>
          <t>OFFERTA ACQUISTO FV (€/Pertica 762mq)</t>
        </is>
      </c>
      <c r="AF4" s="3" t="inlineStr">
        <is>
          <t>Premio % Offerta FV su Rogito Reale</t>
        </is>
      </c>
      <c r="AG4" s="3" t="inlineStr">
        <is>
          <t>Pressione Speculativa / Logistica</t>
        </is>
      </c>
      <c r="AH4" s="3" t="inlineStr">
        <is>
          <t>Priorità &amp; Strategia Negoziale</t>
        </is>
      </c>
      <c r="AI4" s="3" t="inlineStr">
        <is>
          <t>Note di Mercato &amp; Comparabili Locali</t>
        </is>
      </c>
    </row>
    <row r="5" ht="34" customHeight="1">
      <c r="A5" s="6" t="inlineStr">
        <is>
          <t>Cadeo</t>
        </is>
      </c>
      <c r="B5" s="7" t="inlineStr">
        <is>
          <t>A1</t>
        </is>
      </c>
      <c r="C5" s="8" t="inlineStr">
        <is>
          <t>Reg. Agr. 6 (Basso Arda) / 4</t>
        </is>
      </c>
      <c r="D5" s="7" t="n">
        <v>19</v>
      </c>
      <c r="E5" s="7" t="n">
        <v>19</v>
      </c>
      <c r="F5" s="7" t="n">
        <v>0</v>
      </c>
      <c r="G5" s="9" t="n">
        <v>149.03</v>
      </c>
      <c r="H5" s="9" t="n">
        <v>118.37</v>
      </c>
      <c r="I5" s="9">
        <f>H5*13.1230</f>
        <v/>
      </c>
      <c r="J5" s="10" t="n">
        <v>5.45</v>
      </c>
      <c r="K5" s="11">
        <f>J5*10000</f>
        <v/>
      </c>
      <c r="L5" s="10" t="n">
        <v>5.1</v>
      </c>
      <c r="M5" s="10" t="n">
        <v>6.3</v>
      </c>
      <c r="N5" s="12" t="n">
        <v>5.75</v>
      </c>
      <c r="O5" s="13">
        <f>N5*10000</f>
        <v/>
      </c>
      <c r="P5" s="14">
        <f>N5*762.02</f>
        <v/>
      </c>
      <c r="Q5" s="10" t="n">
        <v>5.6</v>
      </c>
      <c r="R5" s="10" t="n">
        <v>7.15</v>
      </c>
      <c r="S5" s="15">
        <f>((Q5+R5)/2)*762.02</f>
        <v/>
      </c>
      <c r="T5" s="7" t="inlineStr">
        <is>
          <t>1.10 - 2.40 €/mq</t>
        </is>
      </c>
      <c r="U5" s="16" t="n">
        <v>70</v>
      </c>
      <c r="V5" s="16" t="n">
        <v>95</v>
      </c>
      <c r="W5" s="8" t="inlineStr">
        <is>
          <t>Comparto artigianale Via Emilia / Roveleto di Cadeo</t>
        </is>
      </c>
      <c r="X5" s="11" t="n">
        <v>640</v>
      </c>
      <c r="Y5" s="15">
        <f>X5/13.1230</f>
        <v/>
      </c>
      <c r="Z5" s="17" t="n">
        <v>3100</v>
      </c>
      <c r="AA5" s="18">
        <f>Z5/13.1230</f>
        <v/>
      </c>
      <c r="AB5" s="19">
        <f>Z5/X5</f>
        <v/>
      </c>
      <c r="AC5" s="20" t="n">
        <v>7.2</v>
      </c>
      <c r="AD5" s="21">
        <f>AC5*10000</f>
        <v/>
      </c>
      <c r="AE5" s="22">
        <f>AC5*762.02</f>
        <v/>
      </c>
      <c r="AF5" s="23">
        <f>(AC5-N5)/N5</f>
        <v/>
      </c>
      <c r="AG5" s="8" t="inlineStr">
        <is>
          <t>Bassa (Fascia interclusa tra A1 e Ferrovia AV)</t>
        </is>
      </c>
      <c r="AH5" s="6" t="inlineStr">
        <is>
          <t>TOP — Priorità 1</t>
        </is>
      </c>
      <c r="AI5" s="8" t="inlineStr">
        <is>
          <t>19 lotti in aperta campagna stretti tra A1 e linea AV Milano-Bologna (Saliceto/Roveleto). L'effetto 'fascia interclusa' riduce il valore per grandi macchine agricole e azzera l'edificabilità residenziale: ottima propensione dei proprietari a vendere a 6,80-7,55 €/mq (5.180-5.750 €/pertica) o cedere DDS.</t>
        </is>
      </c>
    </row>
    <row r="6" ht="34" customHeight="1">
      <c r="A6" s="6" t="inlineStr">
        <is>
          <t>Rottofreno</t>
        </is>
      </c>
      <c r="B6" s="7" t="inlineStr">
        <is>
          <t>A21</t>
        </is>
      </c>
      <c r="C6" s="8" t="inlineStr">
        <is>
          <t>Reg. Agr. 5 (Pianura di Piacenza)</t>
        </is>
      </c>
      <c r="D6" s="7" t="n">
        <v>13</v>
      </c>
      <c r="E6" s="7" t="n">
        <v>12</v>
      </c>
      <c r="F6" s="7" t="n">
        <v>1</v>
      </c>
      <c r="G6" s="9" t="n">
        <v>145.02</v>
      </c>
      <c r="H6" s="9" t="n">
        <v>92.08</v>
      </c>
      <c r="I6" s="9">
        <f>H6*13.1230</f>
        <v/>
      </c>
      <c r="J6" s="10" t="n">
        <v>5.65</v>
      </c>
      <c r="K6" s="11">
        <f>J6*10000</f>
        <v/>
      </c>
      <c r="L6" s="10" t="n">
        <v>5</v>
      </c>
      <c r="M6" s="10" t="n">
        <v>6.25</v>
      </c>
      <c r="N6" s="12" t="n">
        <v>5.65</v>
      </c>
      <c r="O6" s="13">
        <f>N6*10000</f>
        <v/>
      </c>
      <c r="P6" s="14">
        <f>N6*762.02</f>
        <v/>
      </c>
      <c r="Q6" s="10" t="n">
        <v>5.4</v>
      </c>
      <c r="R6" s="10" t="n">
        <v>6.8</v>
      </c>
      <c r="S6" s="15">
        <f>((Q6+R6)/2)*762.02</f>
        <v/>
      </c>
      <c r="T6" s="7" t="inlineStr">
        <is>
          <t>1.00 - 2.30 €/mq</t>
        </is>
      </c>
      <c r="U6" s="16" t="n">
        <v>75</v>
      </c>
      <c r="V6" s="16" t="n">
        <v>105</v>
      </c>
      <c r="W6" s="8" t="inlineStr">
        <is>
          <t>Zona artigianale San Nicolò a Trebbia / Cattagnina</t>
        </is>
      </c>
      <c r="X6" s="11" t="n">
        <v>650</v>
      </c>
      <c r="Y6" s="15">
        <f>X6/13.1230</f>
        <v/>
      </c>
      <c r="Z6" s="17" t="n">
        <v>3300</v>
      </c>
      <c r="AA6" s="18">
        <f>Z6/13.1230</f>
        <v/>
      </c>
      <c r="AB6" s="19">
        <f>Z6/X6</f>
        <v/>
      </c>
      <c r="AC6" s="20" t="n">
        <v>7.5</v>
      </c>
      <c r="AD6" s="21">
        <f>AC6*10000</f>
        <v/>
      </c>
      <c r="AE6" s="22">
        <f>AC6*762.02</f>
        <v/>
      </c>
      <c r="AF6" s="23">
        <f>(AC6-N6)/N6</f>
        <v/>
      </c>
      <c r="AG6" s="8" t="inlineStr">
        <is>
          <t>Media-Bassa lungo l'asta A21 agricola</t>
        </is>
      </c>
      <c r="AH6" s="6" t="inlineStr">
        <is>
          <t>TOP — Priorità 1 (Hub Rete 132 kV)</t>
        </is>
      </c>
      <c r="AI6" s="8" t="inlineStr">
        <is>
          <t>Snodo elettrico #1 della mappa (Stazione 132 kV Rottofreno e CP AC001E01165 a 1,4-2,0 km). Seminativi irrigui scambiati a rogito intorno a 4.300 €/pertica (~5,65 €/mq). Offerta FV a 7,30-7,85 €/mq (5.560-5.980 €/pertica) incorpora un premio netto del +32% sul mercato reale.</t>
        </is>
      </c>
    </row>
    <row r="7" ht="34" customHeight="1">
      <c r="A7" s="6" t="inlineStr">
        <is>
          <t>Caorso</t>
        </is>
      </c>
      <c r="B7" s="7" t="inlineStr">
        <is>
          <t>A21</t>
        </is>
      </c>
      <c r="C7" s="8" t="inlineStr">
        <is>
          <t>Reg. Agr. 6 (Basso Arda)</t>
        </is>
      </c>
      <c r="D7" s="7" t="n">
        <v>12</v>
      </c>
      <c r="E7" s="7" t="n">
        <v>9</v>
      </c>
      <c r="F7" s="7" t="n">
        <v>3</v>
      </c>
      <c r="G7" s="9" t="n">
        <v>122.76</v>
      </c>
      <c r="H7" s="9" t="n">
        <v>90.34999999999999</v>
      </c>
      <c r="I7" s="9">
        <f>H7*13.1230</f>
        <v/>
      </c>
      <c r="J7" s="10" t="n">
        <v>5.55</v>
      </c>
      <c r="K7" s="11">
        <f>J7*10000</f>
        <v/>
      </c>
      <c r="L7" s="10" t="n">
        <v>4.85</v>
      </c>
      <c r="M7" s="10" t="n">
        <v>6</v>
      </c>
      <c r="N7" s="12" t="n">
        <v>5.45</v>
      </c>
      <c r="O7" s="13">
        <f>N7*10000</f>
        <v/>
      </c>
      <c r="P7" s="14">
        <f>N7*762.02</f>
        <v/>
      </c>
      <c r="Q7" s="10" t="n">
        <v>5.2</v>
      </c>
      <c r="R7" s="10" t="n">
        <v>6.5</v>
      </c>
      <c r="S7" s="15">
        <f>((Q7+R7)/2)*762.02</f>
        <v/>
      </c>
      <c r="T7" s="7" t="inlineStr">
        <is>
          <t>0.90 - 2.20 €/mq</t>
        </is>
      </c>
      <c r="U7" s="16" t="n">
        <v>85</v>
      </c>
      <c r="V7" s="16" t="n">
        <v>100</v>
      </c>
      <c r="W7" s="8" t="inlineStr">
        <is>
          <t>Comparto produttivo/logistico Svincolo A21 Caorso</t>
        </is>
      </c>
      <c r="X7" s="11" t="n">
        <v>620</v>
      </c>
      <c r="Y7" s="15">
        <f>X7/13.1230</f>
        <v/>
      </c>
      <c r="Z7" s="17" t="n">
        <v>3200</v>
      </c>
      <c r="AA7" s="18">
        <f>Z7/13.1230</f>
        <v/>
      </c>
      <c r="AB7" s="19">
        <f>Z7/X7</f>
        <v/>
      </c>
      <c r="AC7" s="20" t="n">
        <v>7.35</v>
      </c>
      <c r="AD7" s="21">
        <f>AC7*10000</f>
        <v/>
      </c>
      <c r="AE7" s="22">
        <f>AC7*762.02</f>
        <v/>
      </c>
      <c r="AF7" s="23">
        <f>(AC7-N7)/N7</f>
        <v/>
      </c>
      <c r="AG7" s="8" t="inlineStr">
        <is>
          <t>Media vicino al casello; Bassa nelle frazioni (Fossadello/Zerbio)</t>
        </is>
      </c>
      <c r="AH7" s="6" t="inlineStr">
        <is>
          <t>TOP — Priorità 1 (Nodo RTN 380 kV)</t>
        </is>
      </c>
      <c r="AI7" s="8" t="inlineStr">
        <is>
          <t>Presenza della Stazione RTN Terna 380/132 kV di Caorso. I lotti produttivi al casello quotano 85-100 €/mq, ma i grandi fondi agricoli a Fossadello/Muradolo scambiano a 3.900-4.500 €/pertica (5,10-5,90 €/mq). Ottimo margine per chiudere i 9 lotti in aperta campagna entro 7,35 €/mq.</t>
        </is>
      </c>
    </row>
    <row r="8" ht="34" customHeight="1">
      <c r="A8" s="6" t="inlineStr">
        <is>
          <t>Fiorenzuola d'Arda</t>
        </is>
      </c>
      <c r="B8" s="7" t="inlineStr">
        <is>
          <t>A1</t>
        </is>
      </c>
      <c r="C8" s="8" t="inlineStr">
        <is>
          <t>Reg. Agr. 6 (Basso Arda)</t>
        </is>
      </c>
      <c r="D8" s="7" t="n">
        <v>11</v>
      </c>
      <c r="E8" s="7" t="n">
        <v>8</v>
      </c>
      <c r="F8" s="7" t="n">
        <v>3</v>
      </c>
      <c r="G8" s="9" t="n">
        <v>53.83</v>
      </c>
      <c r="H8" s="9" t="n">
        <v>52.43</v>
      </c>
      <c r="I8" s="9">
        <f>H8*13.1230</f>
        <v/>
      </c>
      <c r="J8" s="10" t="n">
        <v>5.45</v>
      </c>
      <c r="K8" s="11">
        <f>J8*10000</f>
        <v/>
      </c>
      <c r="L8" s="10" t="n">
        <v>5</v>
      </c>
      <c r="M8" s="10" t="n">
        <v>6.2</v>
      </c>
      <c r="N8" s="12" t="n">
        <v>5.6</v>
      </c>
      <c r="O8" s="13">
        <f>N8*10000</f>
        <v/>
      </c>
      <c r="P8" s="14">
        <f>N8*762.02</f>
        <v/>
      </c>
      <c r="Q8" s="10" t="n">
        <v>5.5</v>
      </c>
      <c r="R8" s="10" t="n">
        <v>6.8</v>
      </c>
      <c r="S8" s="15">
        <f>((Q8+R8)/2)*762.02</f>
        <v/>
      </c>
      <c r="T8" s="7" t="inlineStr">
        <is>
          <t>1.00 - 2.30 €/mq</t>
        </is>
      </c>
      <c r="U8" s="16" t="n">
        <v>80</v>
      </c>
      <c r="V8" s="16" t="n">
        <v>116</v>
      </c>
      <c r="W8" s="8" t="inlineStr">
        <is>
          <t>Polo Logistico Svincolo A1 Fiorenzuola / Barabasca (80-116 €/mq su Demer/Idealista)</t>
        </is>
      </c>
      <c r="X8" s="11" t="n">
        <v>630</v>
      </c>
      <c r="Y8" s="15">
        <f>X8/13.1230</f>
        <v/>
      </c>
      <c r="Z8" s="17" t="n">
        <v>3100</v>
      </c>
      <c r="AA8" s="18">
        <f>Z8/13.1230</f>
        <v/>
      </c>
      <c r="AB8" s="19">
        <f>Z8/X8</f>
        <v/>
      </c>
      <c r="AC8" s="20" t="n">
        <v>7.3</v>
      </c>
      <c r="AD8" s="21">
        <f>AC8*10000</f>
        <v/>
      </c>
      <c r="AE8" s="22">
        <f>AC8*762.02</f>
        <v/>
      </c>
      <c r="AF8" s="23">
        <f>(AC8-N8)/N8</f>
        <v/>
      </c>
      <c r="AG8" s="8" t="inlineStr">
        <is>
          <t>Alta intorno al casello A1; Bassa lungo l'asta agricola</t>
        </is>
      </c>
      <c r="AH8" s="6" t="inlineStr">
        <is>
          <t>Alta sugli 8 lotti in Aperta Campagna</t>
        </is>
      </c>
      <c r="AI8" s="8" t="inlineStr">
        <is>
          <t>Mercato bipolare: i lotti artigianali/logistici vicino al casello A1 scambiano a 100-116 €/mq, mentre i seminativi in aperta campagna si rogitano a 4.000-4.700 €/pertica (5,25-6,15 €/mq). Sugli 8 lotti in aperta campagna l'offerta a 7,30 €/mq (5.560 €/pertica) è altamente competitiva.</t>
        </is>
      </c>
    </row>
    <row r="9" ht="34" customHeight="1">
      <c r="A9" s="6" t="inlineStr">
        <is>
          <t>Castelvetro Piacentino</t>
        </is>
      </c>
      <c r="B9" s="7" t="inlineStr">
        <is>
          <t>A21</t>
        </is>
      </c>
      <c r="C9" s="8" t="inlineStr">
        <is>
          <t>Reg. Agr. 6 (Basso Arda)</t>
        </is>
      </c>
      <c r="D9" s="7" t="n">
        <v>9</v>
      </c>
      <c r="E9" s="7" t="n">
        <v>8</v>
      </c>
      <c r="F9" s="7" t="n">
        <v>1</v>
      </c>
      <c r="G9" s="9" t="n">
        <v>57.43</v>
      </c>
      <c r="H9" s="9" t="n">
        <v>51.49</v>
      </c>
      <c r="I9" s="9">
        <f>H9*13.1230</f>
        <v/>
      </c>
      <c r="J9" s="10" t="n">
        <v>5.5</v>
      </c>
      <c r="K9" s="11">
        <f>J9*10000</f>
        <v/>
      </c>
      <c r="L9" s="10" t="n">
        <v>4.75</v>
      </c>
      <c r="M9" s="10" t="n">
        <v>5.85</v>
      </c>
      <c r="N9" s="12" t="n">
        <v>5.3</v>
      </c>
      <c r="O9" s="13">
        <f>N9*10000</f>
        <v/>
      </c>
      <c r="P9" s="14">
        <f>N9*762.02</f>
        <v/>
      </c>
      <c r="Q9" s="10" t="n">
        <v>5.1</v>
      </c>
      <c r="R9" s="10" t="n">
        <v>6.3</v>
      </c>
      <c r="S9" s="15">
        <f>((Q9+R9)/2)*762.02</f>
        <v/>
      </c>
      <c r="T9" s="7" t="inlineStr">
        <is>
          <t>0.85 - 2.10 €/mq</t>
        </is>
      </c>
      <c r="U9" s="16" t="n">
        <v>60</v>
      </c>
      <c r="V9" s="16" t="n">
        <v>85</v>
      </c>
      <c r="W9" s="8" t="inlineStr">
        <is>
          <t>Asse produttivo SS10 Padana Inferiore verso Cremona</t>
        </is>
      </c>
      <c r="X9" s="11" t="n">
        <v>600</v>
      </c>
      <c r="Y9" s="15">
        <f>X9/13.1230</f>
        <v/>
      </c>
      <c r="Z9" s="17" t="n">
        <v>3000</v>
      </c>
      <c r="AA9" s="18">
        <f>Z9/13.1230</f>
        <v/>
      </c>
      <c r="AB9" s="19">
        <f>Z9/X9</f>
        <v/>
      </c>
      <c r="AC9" s="20" t="n">
        <v>7.15</v>
      </c>
      <c r="AD9" s="21">
        <f>AC9*10000</f>
        <v/>
      </c>
      <c r="AE9" s="22">
        <f>AC9*762.02</f>
        <v/>
      </c>
      <c r="AF9" s="23">
        <f>(AC9-N9)/N9</f>
        <v/>
      </c>
      <c r="AG9" s="8" t="inlineStr">
        <is>
          <t>Bassa lungo il corridoio autostradale A21</t>
        </is>
      </c>
      <c r="AH9" s="6" t="inlineStr">
        <is>
          <t>Alta — Ottimo rapporto qualità/prezzo</t>
        </is>
      </c>
      <c r="AI9" s="8" t="inlineStr">
        <is>
          <t>Terreni alluvionali fertili al confine cremonese con quotazioni fondiarie moderate (3.800-4.500 €/pertica). Bassa competizione logistica lungo il tracciato A21: 8 lotti in aperta campagna acquisibili a 6,80-7,50 €/mq.</t>
        </is>
      </c>
    </row>
    <row r="10" ht="34" customHeight="1">
      <c r="A10" s="6" t="inlineStr">
        <is>
          <t>Monticelli d'Ongina</t>
        </is>
      </c>
      <c r="B10" s="7" t="inlineStr">
        <is>
          <t>A21</t>
        </is>
      </c>
      <c r="C10" s="8" t="inlineStr">
        <is>
          <t>Reg. Agr. 6 (Basso Arda)</t>
        </is>
      </c>
      <c r="D10" s="7" t="n">
        <v>8</v>
      </c>
      <c r="E10" s="7" t="n">
        <v>6</v>
      </c>
      <c r="F10" s="7" t="n">
        <v>2</v>
      </c>
      <c r="G10" s="9" t="n">
        <v>53.98</v>
      </c>
      <c r="H10" s="9" t="n">
        <v>44.83</v>
      </c>
      <c r="I10" s="9">
        <f>H10*13.1230</f>
        <v/>
      </c>
      <c r="J10" s="10" t="n">
        <v>5.5</v>
      </c>
      <c r="K10" s="11">
        <f>J10*10000</f>
        <v/>
      </c>
      <c r="L10" s="10" t="n">
        <v>4.8</v>
      </c>
      <c r="M10" s="10" t="n">
        <v>5.9</v>
      </c>
      <c r="N10" s="12" t="n">
        <v>5.35</v>
      </c>
      <c r="O10" s="13">
        <f>N10*10000</f>
        <v/>
      </c>
      <c r="P10" s="14">
        <f>N10*762.02</f>
        <v/>
      </c>
      <c r="Q10" s="10" t="n">
        <v>5.15</v>
      </c>
      <c r="R10" s="10" t="n">
        <v>6.35</v>
      </c>
      <c r="S10" s="15">
        <f>((Q10+R10)/2)*762.02</f>
        <v/>
      </c>
      <c r="T10" s="7" t="inlineStr">
        <is>
          <t>0.85 - 2.10 €/mq</t>
        </is>
      </c>
      <c r="U10" s="16" t="n">
        <v>55</v>
      </c>
      <c r="V10" s="16" t="n">
        <v>80</v>
      </c>
      <c r="W10" s="8" t="inlineStr">
        <is>
          <t>Aree artigianali locali lungo SP10 / Via Edison</t>
        </is>
      </c>
      <c r="X10" s="11" t="n">
        <v>610</v>
      </c>
      <c r="Y10" s="15">
        <f>X10/13.1230</f>
        <v/>
      </c>
      <c r="Z10" s="17" t="n">
        <v>3100</v>
      </c>
      <c r="AA10" s="18">
        <f>Z10/13.1230</f>
        <v/>
      </c>
      <c r="AB10" s="19">
        <f>Z10/X10</f>
        <v/>
      </c>
      <c r="AC10" s="20" t="n">
        <v>7.25</v>
      </c>
      <c r="AD10" s="21">
        <f>AC10*10000</f>
        <v/>
      </c>
      <c r="AE10" s="22">
        <f>AC10*762.02</f>
        <v/>
      </c>
      <c r="AF10" s="23">
        <f>(AC10-N10)/N10</f>
        <v/>
      </c>
      <c r="AG10" s="8" t="inlineStr">
        <is>
          <t>Bassa (Economia prevalentemente agricola/orticola)</t>
        </is>
      </c>
      <c r="AH10" s="6" t="inlineStr">
        <is>
          <t>Alta (Presenza Cabina Primaria AC001E01173)</t>
        </is>
      </c>
      <c r="AI10" s="8" t="inlineStr">
        <is>
          <t>Ospita la Cabina Primaria ARERA AC001E01173 e la Stazione RFI 132 kV Monticelli FS. Prezzi agricoli reali molto stabili (~5,35 €/mq medi a rogito = 4.075 €/pertica) e costi di cavidotto MT minimi.</t>
        </is>
      </c>
    </row>
    <row r="11" ht="34" customHeight="1">
      <c r="A11" s="6" t="inlineStr">
        <is>
          <t>San Pietro in Cerro</t>
        </is>
      </c>
      <c r="B11" s="7" t="inlineStr">
        <is>
          <t>A21</t>
        </is>
      </c>
      <c r="C11" s="8" t="inlineStr">
        <is>
          <t>Reg. Agr. 6 (Basso Arda)</t>
        </is>
      </c>
      <c r="D11" s="7" t="n">
        <v>7</v>
      </c>
      <c r="E11" s="7" t="n">
        <v>6</v>
      </c>
      <c r="F11" s="7" t="n">
        <v>1</v>
      </c>
      <c r="G11" s="9" t="n">
        <v>65.76000000000001</v>
      </c>
      <c r="H11" s="9" t="n">
        <v>42.43</v>
      </c>
      <c r="I11" s="9">
        <f>H11*13.1230</f>
        <v/>
      </c>
      <c r="J11" s="10" t="n">
        <v>5.5</v>
      </c>
      <c r="K11" s="11">
        <f>J11*10000</f>
        <v/>
      </c>
      <c r="L11" s="10" t="n">
        <v>4.6</v>
      </c>
      <c r="M11" s="10" t="n">
        <v>5.7</v>
      </c>
      <c r="N11" s="12" t="n">
        <v>5.15</v>
      </c>
      <c r="O11" s="13">
        <f>N11*10000</f>
        <v/>
      </c>
      <c r="P11" s="14">
        <f>N11*762.02</f>
        <v/>
      </c>
      <c r="Q11" s="10" t="n">
        <v>4.9</v>
      </c>
      <c r="R11" s="10" t="n">
        <v>6.1</v>
      </c>
      <c r="S11" s="15">
        <f>((Q11+R11)/2)*762.02</f>
        <v/>
      </c>
      <c r="T11" s="7" t="inlineStr">
        <is>
          <t>0.80 - 2.00 €/mq</t>
        </is>
      </c>
      <c r="U11" s="16" t="n">
        <v>50</v>
      </c>
      <c r="V11" s="16" t="n">
        <v>70</v>
      </c>
      <c r="W11" s="8" t="inlineStr">
        <is>
          <t>Piccoli lotti artigianali locali (assenza di grandi poli logistici)</t>
        </is>
      </c>
      <c r="X11" s="11" t="n">
        <v>580</v>
      </c>
      <c r="Y11" s="15">
        <f>X11/13.1230</f>
        <v/>
      </c>
      <c r="Z11" s="17" t="n">
        <v>3000</v>
      </c>
      <c r="AA11" s="18">
        <f>Z11/13.1230</f>
        <v/>
      </c>
      <c r="AB11" s="19">
        <f>Z11/X11</f>
        <v/>
      </c>
      <c r="AC11" s="20" t="n">
        <v>7.05</v>
      </c>
      <c r="AD11" s="21">
        <f>AC11*10000</f>
        <v/>
      </c>
      <c r="AE11" s="22">
        <f>AC11*762.02</f>
        <v/>
      </c>
      <c r="AF11" s="23">
        <f>(AC11-N11)/N11</f>
        <v/>
      </c>
      <c r="AG11" s="8" t="inlineStr">
        <is>
          <t>Nulla / Puramente Rurale</t>
        </is>
      </c>
      <c r="AH11" s="6" t="inlineStr">
        <is>
          <t>BEST PICK ASSOLUTO (Score 99,5/100)</t>
        </is>
      </c>
      <c r="AI11" s="8" t="inlineStr">
        <is>
          <t>Comune puramente agricolo senza inflazione da logistica (rogiti tra 3.500 e 4.350 €/pertica = 4,60-5,70 €/mq). Include il Lotto PC-A21-011 (Fg.2 Part.1, 8,29 ha a 49m dalla linea 132 kV e 200m dalla Stazione Monticelli FS).</t>
        </is>
      </c>
    </row>
    <row r="12" ht="34" customHeight="1">
      <c r="A12" s="6" t="inlineStr">
        <is>
          <t>Pontenure</t>
        </is>
      </c>
      <c r="B12" s="7" t="inlineStr">
        <is>
          <t>A1</t>
        </is>
      </c>
      <c r="C12" s="8" t="inlineStr">
        <is>
          <t>Reg. Agr. 5 (Pianura di Piacenza)</t>
        </is>
      </c>
      <c r="D12" s="7" t="n">
        <v>7</v>
      </c>
      <c r="E12" s="7" t="n">
        <v>6</v>
      </c>
      <c r="F12" s="7" t="n">
        <v>1</v>
      </c>
      <c r="G12" s="9" t="n">
        <v>41.22</v>
      </c>
      <c r="H12" s="9" t="n">
        <v>37.51</v>
      </c>
      <c r="I12" s="9">
        <f>H12*13.1230</f>
        <v/>
      </c>
      <c r="J12" s="10" t="n">
        <v>5.85</v>
      </c>
      <c r="K12" s="11">
        <f>J12*10000</f>
        <v/>
      </c>
      <c r="L12" s="10" t="n">
        <v>5.5</v>
      </c>
      <c r="M12" s="10" t="n">
        <v>6.7</v>
      </c>
      <c r="N12" s="12" t="n">
        <v>6.1</v>
      </c>
      <c r="O12" s="13">
        <f>N12*10000</f>
        <v/>
      </c>
      <c r="P12" s="14">
        <f>N12*762.02</f>
        <v/>
      </c>
      <c r="Q12" s="10" t="n">
        <v>6</v>
      </c>
      <c r="R12" s="10" t="n">
        <v>7.35</v>
      </c>
      <c r="S12" s="15">
        <f>((Q12+R12)/2)*762.02</f>
        <v/>
      </c>
      <c r="T12" s="7" t="inlineStr">
        <is>
          <t>1.20 - 2.50 €/mq</t>
        </is>
      </c>
      <c r="U12" s="16" t="n">
        <v>85</v>
      </c>
      <c r="V12" s="16" t="n">
        <v>110</v>
      </c>
      <c r="W12" s="8" t="inlineStr">
        <is>
          <t>Comparto industriale Via Emilia Est / Zona Stazione</t>
        </is>
      </c>
      <c r="X12" s="11" t="n">
        <v>680</v>
      </c>
      <c r="Y12" s="15">
        <f>X12/13.1230</f>
        <v/>
      </c>
      <c r="Z12" s="17" t="n">
        <v>3300</v>
      </c>
      <c r="AA12" s="18">
        <f>Z12/13.1230</f>
        <v/>
      </c>
      <c r="AB12" s="19">
        <f>Z12/X12</f>
        <v/>
      </c>
      <c r="AC12" s="20" t="n">
        <v>7.65</v>
      </c>
      <c r="AD12" s="21">
        <f>AC12*10000</f>
        <v/>
      </c>
      <c r="AE12" s="22">
        <f>AC12*762.02</f>
        <v/>
      </c>
      <c r="AF12" s="23">
        <f>(AC12-N12)/N12</f>
        <v/>
      </c>
      <c r="AG12" s="8" t="inlineStr">
        <is>
          <t>Media lungo Via Emilia; Bassa nella fascia tra A1 e Ferrovia AV</t>
        </is>
      </c>
      <c r="AH12" s="6" t="inlineStr">
        <is>
          <t>TOP — Priorità 1 (Cabina Primaria Pontenure)</t>
        </is>
      </c>
      <c r="AI12" s="8" t="inlineStr">
        <is>
          <t>Terreni molto ricercati da aziende agricole strutturate (rogiti ~6,10 €/mq = 4.650 €/pertica; annunci per 50 pertiche irrigue fino a 7,15 €/mq). I 6 lotti in aperta campagna (Valconasso) sono però interclusi tra A1 e AV ferroviaria, agevolando la chiusura a 7,40-7,90 €/mq.</t>
        </is>
      </c>
    </row>
    <row r="13" ht="34" customHeight="1">
      <c r="A13" s="6" t="inlineStr">
        <is>
          <t>Castel San Giovanni</t>
        </is>
      </c>
      <c r="B13" s="7" t="inlineStr">
        <is>
          <t>A21</t>
        </is>
      </c>
      <c r="C13" s="8" t="inlineStr">
        <is>
          <t>Reg. Agr. 3 / 5 (Val Tidone - Pianura)</t>
        </is>
      </c>
      <c r="D13" s="7" t="n">
        <v>6</v>
      </c>
      <c r="E13" s="7" t="n">
        <v>5</v>
      </c>
      <c r="F13" s="7" t="n">
        <v>1</v>
      </c>
      <c r="G13" s="9" t="n">
        <v>40.64</v>
      </c>
      <c r="H13" s="9" t="n">
        <v>32.29</v>
      </c>
      <c r="I13" s="9">
        <f>H13*13.1230</f>
        <v/>
      </c>
      <c r="J13" s="10" t="n">
        <v>5.6</v>
      </c>
      <c r="K13" s="11">
        <f>J13*10000</f>
        <v/>
      </c>
      <c r="L13" s="10" t="n">
        <v>4.9</v>
      </c>
      <c r="M13" s="10" t="n">
        <v>6.2</v>
      </c>
      <c r="N13" s="12" t="n">
        <v>5.55</v>
      </c>
      <c r="O13" s="13">
        <f>N13*10000</f>
        <v/>
      </c>
      <c r="P13" s="14">
        <f>N13*762.02</f>
        <v/>
      </c>
      <c r="Q13" s="10" t="n">
        <v>5.3</v>
      </c>
      <c r="R13" s="10" t="n">
        <v>6.8</v>
      </c>
      <c r="S13" s="15">
        <f>((Q13+R13)/2)*762.02</f>
        <v/>
      </c>
      <c r="T13" s="7" t="inlineStr">
        <is>
          <t>1.10 - 2.40 €/mq</t>
        </is>
      </c>
      <c r="U13" s="16" t="n">
        <v>110</v>
      </c>
      <c r="V13" s="16" t="n">
        <v>150</v>
      </c>
      <c r="W13" s="8" t="inlineStr">
        <is>
          <t>Mega-Hub Logistico Castel San Giovanni (Amazon / A21: 110-150 €/mq urbanizzato; 40 €/mq attesa)</t>
        </is>
      </c>
      <c r="X13" s="11" t="n">
        <v>640</v>
      </c>
      <c r="Y13" s="15">
        <f>X13/13.1230</f>
        <v/>
      </c>
      <c r="Z13" s="17" t="n">
        <v>3400</v>
      </c>
      <c r="AA13" s="18">
        <f>Z13/13.1230</f>
        <v/>
      </c>
      <c r="AB13" s="19">
        <f>Z13/X13</f>
        <v/>
      </c>
      <c r="AC13" s="20" t="n">
        <v>7.7</v>
      </c>
      <c r="AD13" s="21">
        <f>AC13*10000</f>
        <v/>
      </c>
      <c r="AE13" s="22">
        <f>AC13*762.02</f>
        <v/>
      </c>
      <c r="AF13" s="23">
        <f>(AC13-N13)/N13</f>
        <v/>
      </c>
      <c r="AG13" s="8" t="inlineStr">
        <is>
          <t>Altissima vicino al Polo Logistico; Bassa verso Pievetta/Po</t>
        </is>
      </c>
      <c r="AH13" s="6" t="inlineStr">
        <is>
          <t>Verifica CDU Preliminare Obbligatoria</t>
        </is>
      </c>
      <c r="AI13" s="8" t="inlineStr">
        <is>
          <t>Nel raggio del Polo Logistico i terreni di trasformazione partono da 40 €/mq fino a 150 €/mq urbanizzati. Fuori dal perimetro logistico (frazioni agricole verso il Po) la terra resta a 5,00-6,20 €/mq. Verificare il PUG prima dell'offerta o proporre Diritto di Superficie.</t>
        </is>
      </c>
    </row>
    <row r="14" ht="34" customHeight="1">
      <c r="A14" s="6" t="inlineStr">
        <is>
          <t>Calendasco</t>
        </is>
      </c>
      <c r="B14" s="7" t="inlineStr">
        <is>
          <t>A21</t>
        </is>
      </c>
      <c r="C14" s="8" t="inlineStr">
        <is>
          <t>Reg. Agr. 5 (Pianura di Piacenza)</t>
        </is>
      </c>
      <c r="D14" s="7" t="n">
        <v>5</v>
      </c>
      <c r="E14" s="7" t="n">
        <v>4</v>
      </c>
      <c r="F14" s="7" t="n">
        <v>1</v>
      </c>
      <c r="G14" s="9" t="n">
        <v>37.09</v>
      </c>
      <c r="H14" s="9" t="n">
        <v>30.26</v>
      </c>
      <c r="I14" s="9">
        <f>H14*13.1230</f>
        <v/>
      </c>
      <c r="J14" s="10" t="n">
        <v>5.65</v>
      </c>
      <c r="K14" s="11">
        <f>J14*10000</f>
        <v/>
      </c>
      <c r="L14" s="10" t="n">
        <v>4.85</v>
      </c>
      <c r="M14" s="10" t="n">
        <v>5.95</v>
      </c>
      <c r="N14" s="12" t="n">
        <v>5.4</v>
      </c>
      <c r="O14" s="13">
        <f>N14*10000</f>
        <v/>
      </c>
      <c r="P14" s="14">
        <f>N14*762.02</f>
        <v/>
      </c>
      <c r="Q14" s="10" t="n">
        <v>5.2</v>
      </c>
      <c r="R14" s="10" t="n">
        <v>6.4</v>
      </c>
      <c r="S14" s="15">
        <f>((Q14+R14)/2)*762.02</f>
        <v/>
      </c>
      <c r="T14" s="7" t="inlineStr">
        <is>
          <t>0.90 - 2.15 €/mq</t>
        </is>
      </c>
      <c r="U14" s="16" t="n">
        <v>65</v>
      </c>
      <c r="V14" s="16" t="n">
        <v>90</v>
      </c>
      <c r="W14" s="8" t="inlineStr">
        <is>
          <t>Comparto produttivo SP10 / Ponte Trebbia</t>
        </is>
      </c>
      <c r="X14" s="11" t="n">
        <v>610</v>
      </c>
      <c r="Y14" s="15">
        <f>X14/13.1230</f>
        <v/>
      </c>
      <c r="Z14" s="17" t="n">
        <v>3000</v>
      </c>
      <c r="AA14" s="18">
        <f>Z14/13.1230</f>
        <v/>
      </c>
      <c r="AB14" s="19">
        <f>Z14/X14</f>
        <v/>
      </c>
      <c r="AC14" s="20" t="n">
        <v>7.25</v>
      </c>
      <c r="AD14" s="21">
        <f>AC14*10000</f>
        <v/>
      </c>
      <c r="AE14" s="22">
        <f>AC14*762.02</f>
        <v/>
      </c>
      <c r="AF14" s="23">
        <f>(AC14-N14)/N14</f>
        <v/>
      </c>
      <c r="AG14" s="8" t="inlineStr">
        <is>
          <t>Bassa lungo il corridoio A21</t>
        </is>
      </c>
      <c r="AH14" s="6" t="inlineStr">
        <is>
          <t>Alta (Bassa speculazione)</t>
        </is>
      </c>
      <c r="AI14" s="8" t="inlineStr">
        <is>
          <t>Mercato fondiario stabile e agricolo (rogiti 3.700-4.530 €/pertica = 4,85-5,95 €/mq). Assenza di pressione dai grandi hub logistici sui 4 lotti in aperta campagna lungo A21.</t>
        </is>
      </c>
    </row>
    <row r="15" ht="34" customHeight="1">
      <c r="A15" s="6" t="inlineStr">
        <is>
          <t>Piacenza</t>
        </is>
      </c>
      <c r="B15" s="7" t="inlineStr">
        <is>
          <t>A1/A21</t>
        </is>
      </c>
      <c r="C15" s="8" t="inlineStr">
        <is>
          <t>Reg. Agr. 5 (Pianura di Piacenza)</t>
        </is>
      </c>
      <c r="D15" s="7" t="n">
        <v>15</v>
      </c>
      <c r="E15" s="7" t="n">
        <v>3</v>
      </c>
      <c r="F15" s="7" t="n">
        <v>12</v>
      </c>
      <c r="G15" s="9" t="n">
        <v>103.17</v>
      </c>
      <c r="H15" s="9" t="n">
        <v>88.87</v>
      </c>
      <c r="I15" s="9">
        <f>H15*13.1230</f>
        <v/>
      </c>
      <c r="J15" s="10" t="n">
        <v>5.65</v>
      </c>
      <c r="K15" s="11">
        <f>J15*10000</f>
        <v/>
      </c>
      <c r="L15" s="10" t="n">
        <v>5.5</v>
      </c>
      <c r="M15" s="10" t="n">
        <v>6.8</v>
      </c>
      <c r="N15" s="12" t="n">
        <v>6.15</v>
      </c>
      <c r="O15" s="13">
        <f>N15*10000</f>
        <v/>
      </c>
      <c r="P15" s="14">
        <f>N15*762.02</f>
        <v/>
      </c>
      <c r="Q15" s="10" t="n">
        <v>6</v>
      </c>
      <c r="R15" s="10" t="n">
        <v>7.6</v>
      </c>
      <c r="S15" s="15">
        <f>((Q15+R15)/2)*762.02</f>
        <v/>
      </c>
      <c r="T15" s="7" t="inlineStr">
        <is>
          <t>1.30 - 2.60 €/mq</t>
        </is>
      </c>
      <c r="U15" s="16" t="n">
        <v>80</v>
      </c>
      <c r="V15" s="16" t="n">
        <v>140</v>
      </c>
      <c r="W15" s="8" t="inlineStr">
        <is>
          <t>Polo Logistico Le Mose / Caorsana / Piacenza Sud (80-85 €/mq grezzo, 120-140 €/mq urbanizzato)</t>
        </is>
      </c>
      <c r="X15" s="11" t="n">
        <v>700</v>
      </c>
      <c r="Y15" s="15">
        <f>X15/13.1230</f>
        <v/>
      </c>
      <c r="Z15" s="17" t="n">
        <v>3500</v>
      </c>
      <c r="AA15" s="18">
        <f>Z15/13.1230</f>
        <v/>
      </c>
      <c r="AB15" s="19">
        <f>Z15/X15</f>
        <v/>
      </c>
      <c r="AC15" s="20" t="n">
        <v>7.8</v>
      </c>
      <c r="AD15" s="21">
        <f>AC15*10000</f>
        <v/>
      </c>
      <c r="AE15" s="22">
        <f>AC15*762.02</f>
        <v/>
      </c>
      <c r="AF15" s="23">
        <f>(AC15-N15)/N15</f>
        <v/>
      </c>
      <c r="AG15" s="8" t="inlineStr">
        <is>
          <t>Molto Alta a Piacenza Sud/Le Mose; Media a Roncaglia/Mortizza</t>
        </is>
      </c>
      <c r="AH15" s="6" t="inlineStr">
        <is>
          <t>Selettiva (3 Aperta Campagna OK; 12 Periurbani solo DDS)</t>
        </is>
      </c>
      <c r="AI15" s="8" t="inlineStr">
        <is>
          <t>Il polo logistico Le Mose/Piacenza Sud spinge i terreni industriali a 80-140 €/mq. Per questo 12 lotti su 15 sono classificati come 'Riserve Periurbane'. Puntare in acquisto sui 3 lotti agricoli di Roncaglia/Mortizza (7,50-8,00 €/mq) e offrire DDS (3.500 €/ha/anno) sui lotti in fascia di rispetto inedificabile.</t>
        </is>
      </c>
    </row>
    <row r="16" ht="34" customHeight="1">
      <c r="A16" s="6" t="inlineStr">
        <is>
          <t>Alseno</t>
        </is>
      </c>
      <c r="B16" s="7" t="inlineStr">
        <is>
          <t>A1</t>
        </is>
      </c>
      <c r="C16" s="8" t="inlineStr">
        <is>
          <t>Reg. Agr. 4 / 6 (Basso Arda)</t>
        </is>
      </c>
      <c r="D16" s="7" t="n">
        <v>2</v>
      </c>
      <c r="E16" s="7" t="n">
        <v>2</v>
      </c>
      <c r="F16" s="7" t="n">
        <v>0</v>
      </c>
      <c r="G16" s="9" t="n">
        <v>11</v>
      </c>
      <c r="H16" s="9" t="n">
        <v>10.28</v>
      </c>
      <c r="I16" s="9">
        <f>H16*13.1230</f>
        <v/>
      </c>
      <c r="J16" s="10" t="n">
        <v>5.45</v>
      </c>
      <c r="K16" s="11">
        <f>J16*10000</f>
        <v/>
      </c>
      <c r="L16" s="10" t="n">
        <v>4.5</v>
      </c>
      <c r="M16" s="10" t="n">
        <v>5.55</v>
      </c>
      <c r="N16" s="12" t="n">
        <v>5.05</v>
      </c>
      <c r="O16" s="13">
        <f>N16*10000</f>
        <v/>
      </c>
      <c r="P16" s="14">
        <f>N16*762.02</f>
        <v/>
      </c>
      <c r="Q16" s="10" t="n">
        <v>4.8</v>
      </c>
      <c r="R16" s="10" t="n">
        <v>5.95</v>
      </c>
      <c r="S16" s="15">
        <f>((Q16+R16)/2)*762.02</f>
        <v/>
      </c>
      <c r="T16" s="7" t="inlineStr">
        <is>
          <t>0.80 - 1.95 €/mq</t>
        </is>
      </c>
      <c r="U16" s="16" t="n">
        <v>55</v>
      </c>
      <c r="V16" s="16" t="n">
        <v>75</v>
      </c>
      <c r="W16" s="8" t="inlineStr">
        <is>
          <t>Piccole aree artigianali Via Emilia (Castelnuovo Fogliani)</t>
        </is>
      </c>
      <c r="X16" s="11" t="n">
        <v>570</v>
      </c>
      <c r="Y16" s="15">
        <f>X16/13.1230</f>
        <v/>
      </c>
      <c r="Z16" s="17" t="n">
        <v>2900</v>
      </c>
      <c r="AA16" s="18">
        <f>Z16/13.1230</f>
        <v/>
      </c>
      <c r="AB16" s="19">
        <f>Z16/X16</f>
        <v/>
      </c>
      <c r="AC16" s="20" t="n">
        <v>6.85</v>
      </c>
      <c r="AD16" s="21">
        <f>AC16*10000</f>
        <v/>
      </c>
      <c r="AE16" s="22">
        <f>AC16*762.02</f>
        <v/>
      </c>
      <c r="AF16" s="23">
        <f>(AC16-N16)/N16</f>
        <v/>
      </c>
      <c r="AG16" s="8" t="inlineStr">
        <is>
          <t>Nulla sul tratto autostradale A1 (Chiaravalle)</t>
        </is>
      </c>
      <c r="AH16" s="6" t="inlineStr">
        <is>
          <t>Molto Facile (Prezzi agricoli puri)</t>
        </is>
      </c>
      <c r="AI16" s="8" t="inlineStr">
        <is>
          <t>Tratto A1 vicino all'Abbazia di Chiaravalle della Colomba (verificare fasce di rispetto paesaggistiche comunali): valori fondiari tra i più contenuti della pianura (3.500-4.250 €/pertica), trattativa agevole sotto i 7,20 €/mq.</t>
        </is>
      </c>
    </row>
    <row r="17" ht="34" customHeight="1">
      <c r="A17" s="6" t="inlineStr">
        <is>
          <t>Sarmato</t>
        </is>
      </c>
      <c r="B17" s="7" t="inlineStr">
        <is>
          <t>A21</t>
        </is>
      </c>
      <c r="C17" s="8" t="inlineStr">
        <is>
          <t>Reg. Agr. 5 (Pianura di Piacenza)</t>
        </is>
      </c>
      <c r="D17" s="7" t="n">
        <v>2</v>
      </c>
      <c r="E17" s="7" t="n">
        <v>2</v>
      </c>
      <c r="F17" s="7" t="n">
        <v>0</v>
      </c>
      <c r="G17" s="9" t="n">
        <v>9.380000000000001</v>
      </c>
      <c r="H17" s="9" t="n">
        <v>9.16</v>
      </c>
      <c r="I17" s="9">
        <f>H17*13.1230</f>
        <v/>
      </c>
      <c r="J17" s="10" t="n">
        <v>5.6</v>
      </c>
      <c r="K17" s="11">
        <f>J17*10000</f>
        <v/>
      </c>
      <c r="L17" s="10" t="n">
        <v>4.95</v>
      </c>
      <c r="M17" s="10" t="n">
        <v>6.05</v>
      </c>
      <c r="N17" s="12" t="n">
        <v>5.5</v>
      </c>
      <c r="O17" s="13">
        <f>N17*10000</f>
        <v/>
      </c>
      <c r="P17" s="14">
        <f>N17*762.02</f>
        <v/>
      </c>
      <c r="Q17" s="10" t="n">
        <v>5.3</v>
      </c>
      <c r="R17" s="10" t="n">
        <v>6.5</v>
      </c>
      <c r="S17" s="15">
        <f>((Q17+R17)/2)*762.02</f>
        <v/>
      </c>
      <c r="T17" s="7" t="inlineStr">
        <is>
          <t>0.95 - 2.20 €/mq</t>
        </is>
      </c>
      <c r="U17" s="16" t="n">
        <v>70</v>
      </c>
      <c r="V17" s="16" t="n">
        <v>95</v>
      </c>
      <c r="W17" s="8" t="inlineStr">
        <is>
          <t>Polo energetico/industriale Ex Zuccherificio / Centrale Edison 220 kV</t>
        </is>
      </c>
      <c r="X17" s="11" t="n">
        <v>620</v>
      </c>
      <c r="Y17" s="15">
        <f>X17/13.1230</f>
        <v/>
      </c>
      <c r="Z17" s="17" t="n">
        <v>3200</v>
      </c>
      <c r="AA17" s="18">
        <f>Z17/13.1230</f>
        <v/>
      </c>
      <c r="AB17" s="19">
        <f>Z17/X17</f>
        <v/>
      </c>
      <c r="AC17" s="20" t="n">
        <v>7.3</v>
      </c>
      <c r="AD17" s="21">
        <f>AC17*10000</f>
        <v/>
      </c>
      <c r="AE17" s="22">
        <f>AC17*762.02</f>
        <v/>
      </c>
      <c r="AF17" s="23">
        <f>(AC17-N17)/N17</f>
        <v/>
      </c>
      <c r="AG17" s="8" t="inlineStr">
        <is>
          <t>Bassa (Alta vocazione energetica storica)</t>
        </is>
      </c>
      <c r="AH17" s="6" t="inlineStr">
        <is>
          <t>Alta (Vicino Stazione 220 kV Edison Sarmato)</t>
        </is>
      </c>
      <c r="AI17" s="8" t="inlineStr">
        <is>
          <t>Comune a storica vocazione energetica (centrale termoelettrica Edison 220 kV, biometano, ex zuccherificio). Proprietari abituati a contratti di servitù e diritto di superficie energetico.</t>
        </is>
      </c>
    </row>
    <row r="18" ht="26" customHeight="1">
      <c r="A18" s="24" t="inlineStr">
        <is>
          <t>TOTALE / MEDIA PROVINCIALE CLUSTER</t>
        </is>
      </c>
      <c r="B18" s="24" t="n"/>
      <c r="C18" s="24" t="n"/>
      <c r="D18" s="24">
        <f>SUM(D5:D17)</f>
        <v/>
      </c>
      <c r="E18" s="24">
        <f>SUM(E5:E17)</f>
        <v/>
      </c>
      <c r="F18" s="24">
        <f>SUM(F5:F17)</f>
        <v/>
      </c>
      <c r="G18" s="25">
        <f>SUM(G5:G17)</f>
        <v/>
      </c>
      <c r="H18" s="25">
        <f>SUM(H5:H17)</f>
        <v/>
      </c>
      <c r="I18" s="25">
        <f>SUM(I5:I17)</f>
        <v/>
      </c>
      <c r="J18" s="26">
        <f>AVERAGE(J5:J17)</f>
        <v/>
      </c>
      <c r="K18" s="27">
        <f>AVERAGE(K5:K17)</f>
        <v/>
      </c>
      <c r="L18" s="26">
        <f>AVERAGE(L5:L17)</f>
        <v/>
      </c>
      <c r="M18" s="26">
        <f>AVERAGE(M5:M17)</f>
        <v/>
      </c>
      <c r="N18" s="26">
        <f>AVERAGE(N5:N17)</f>
        <v/>
      </c>
      <c r="O18" s="27">
        <f>AVERAGE(O5:O17)</f>
        <v/>
      </c>
      <c r="P18" s="28">
        <f>AVERAGE(P5:P17)</f>
        <v/>
      </c>
      <c r="Q18" s="26">
        <f>AVERAGE(Q5:Q17)</f>
        <v/>
      </c>
      <c r="R18" s="26">
        <f>AVERAGE(R5:R17)</f>
        <v/>
      </c>
      <c r="S18" s="28">
        <f>AVERAGE(S5:S17)</f>
        <v/>
      </c>
      <c r="T18" s="24" t="n"/>
      <c r="U18" s="26">
        <f>AVERAGE(U5:U17)</f>
        <v/>
      </c>
      <c r="V18" s="26">
        <f>AVERAGE(V5:V17)</f>
        <v/>
      </c>
      <c r="W18" s="24" t="n"/>
      <c r="X18" s="27">
        <f>AVERAGE(X5:X17)</f>
        <v/>
      </c>
      <c r="Y18" s="28">
        <f>AVERAGE(Y5:Y17)</f>
        <v/>
      </c>
      <c r="Z18" s="27">
        <f>AVERAGE(Z5:Z17)</f>
        <v/>
      </c>
      <c r="AA18" s="28">
        <f>AVERAGE(AA5:AA17)</f>
        <v/>
      </c>
      <c r="AB18" s="29">
        <f>AVERAGE(AB5:AB17)</f>
        <v/>
      </c>
      <c r="AC18" s="26">
        <f>AVERAGE(AC5:AC17)</f>
        <v/>
      </c>
      <c r="AD18" s="27">
        <f>AVERAGE(AD5:AD17)</f>
        <v/>
      </c>
      <c r="AE18" s="28">
        <f>AVERAGE(AE5:AE17)</f>
        <v/>
      </c>
      <c r="AF18" s="30">
        <f>AVERAGE(AF5:AF17)</f>
        <v/>
      </c>
      <c r="AG18" s="24" t="n"/>
      <c r="AH18" s="24" t="n"/>
      <c r="AI18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42" customWidth="1" min="7" max="7"/>
    <col width="48" customWidth="1" min="8" max="8"/>
  </cols>
  <sheetData>
    <row r="1">
      <c r="A1" s="1" t="inlineStr">
        <is>
          <t>QUADRO SINTETICO DELLE 5 FASCE DI PREZZO E DELLE FORMULE CONTRATTUALI NEL PIACENTINO</t>
        </is>
      </c>
    </row>
    <row r="2">
      <c r="A2" s="2" t="inlineStr">
        <is>
          <t>Unità di misura locale: 1 Pertica Piacentina = 762,0186 mq  |  1 Ettaro (10.000 mq) = 13,123 Pertiche Piacentine</t>
        </is>
      </c>
    </row>
    <row r="4">
      <c r="A4" s="31" t="inlineStr">
        <is>
          <t>A. LE 5 FASCE DI PREZZO DEI TERRENI NELLA PIANURA PIACENTINA (A1 &amp; A21)</t>
        </is>
      </c>
    </row>
    <row r="5" ht="28" customHeight="1">
      <c r="A5" s="3" t="inlineStr">
        <is>
          <t>Fascia / Segmento di Mercato</t>
        </is>
      </c>
      <c r="B5" s="3" t="inlineStr">
        <is>
          <t>Natura del Dato</t>
        </is>
      </c>
      <c r="C5" s="3" t="inlineStr">
        <is>
          <t>Prezzo Min (€/mq)</t>
        </is>
      </c>
      <c r="D5" s="3" t="inlineStr">
        <is>
          <t>Prezzo Max (€/mq)</t>
        </is>
      </c>
      <c r="E5" s="3" t="inlineStr">
        <is>
          <t>Prezzo a Ettaro (€/ha)</t>
        </is>
      </c>
      <c r="F5" s="3" t="inlineStr">
        <is>
          <t>Prezzo a Pertica Piacentina (762 mq)</t>
        </is>
      </c>
      <c r="G5" s="3" t="inlineStr">
        <is>
          <t>Fonte Ufficiale / Riscontro Mercato</t>
        </is>
      </c>
      <c r="H5" s="3" t="inlineStr">
        <is>
          <t>Impatto sui 116 Lotti in Mappa (piacentino.html)</t>
        </is>
      </c>
    </row>
    <row r="6" ht="28" customHeight="1">
      <c r="A6" s="6" t="inlineStr">
        <is>
          <t>1. Aste Giudiziarie Agricole (Base d'Asta Ribassata)</t>
        </is>
      </c>
      <c r="B6" s="8" t="inlineStr">
        <is>
          <t>Vendita Forzata / Esecuzioni</t>
        </is>
      </c>
      <c r="C6" s="10" t="n">
        <v>0.8</v>
      </c>
      <c r="D6" s="10" t="n">
        <v>2.5</v>
      </c>
      <c r="E6" s="32" t="inlineStr">
        <is>
          <t>8.000 – 25.000 €/ha</t>
        </is>
      </c>
      <c r="F6" s="32" t="inlineStr">
        <is>
          <t>610 – 1.905 €/pertica</t>
        </is>
      </c>
      <c r="G6" s="8" t="inlineStr">
        <is>
          <t>Tribunale di Piacenza / IVG Parma-Piacenza / PVP Giustizia</t>
        </is>
      </c>
      <c r="H6" s="8" t="inlineStr">
        <is>
          <t>Terreni spesso gravati da contratti d'affitto opponibili o prelazione del coltivatore insediato.</t>
        </is>
      </c>
    </row>
    <row r="7" ht="28" customHeight="1">
      <c r="A7" s="6" t="inlineStr">
        <is>
          <t>2. Valore Agricolo Medio (VAM Ufficiale)</t>
        </is>
      </c>
      <c r="B7" s="8" t="inlineStr">
        <is>
          <t>Valore Amministrativo / Espropri</t>
        </is>
      </c>
      <c r="C7" s="10" t="n">
        <v>4.8</v>
      </c>
      <c r="D7" s="10" t="n">
        <v>5.85</v>
      </c>
      <c r="E7" s="32" t="inlineStr">
        <is>
          <t>48.000 – 58.500 €/ha</t>
        </is>
      </c>
      <c r="F7" s="32" t="inlineStr">
        <is>
          <t>3.658 – 4.458 €/pertica</t>
        </is>
      </c>
      <c r="G7" s="8" t="inlineStr">
        <is>
          <t>Commissione Provinciale Espropri Piacenza (BURERT Regione ER — Reg. Agr. 5 e 6)</t>
        </is>
      </c>
      <c r="H7" s="8" t="inlineStr">
        <is>
          <t>Base amministrativa caricata in SunPro per verificare lo scostamento del prezzo richiesto.</t>
        </is>
      </c>
    </row>
    <row r="8" ht="28" customHeight="1">
      <c r="A8" s="33" t="inlineStr">
        <is>
          <t>3. Compravendita Agricola Reale (Rogiti Notarili)</t>
        </is>
      </c>
      <c r="B8" s="34" t="inlineStr">
        <is>
          <t>REALE VENDITA (Transato Effettivo)</t>
        </is>
      </c>
      <c r="C8" s="35" t="n">
        <v>4.6</v>
      </c>
      <c r="D8" s="35" t="n">
        <v>6.8</v>
      </c>
      <c r="E8" s="36" t="inlineStr">
        <is>
          <t>46.000 – 68.000 €/ha</t>
        </is>
      </c>
      <c r="F8" s="36" t="inlineStr">
        <is>
          <t>3.505 – 5.182 €/pertica</t>
        </is>
      </c>
      <c r="G8" s="34" t="inlineStr">
        <is>
          <t>Indagine Mercato Fondiario CREA + Osservatorio ISMEA + Camera di Commercio Piacenza</t>
        </is>
      </c>
      <c r="H8" s="34" t="inlineStr">
        <is>
          <t>Riferimento reale dei 90 Lotti in Aperta Campagna (seminativo irriguo a mais/pomodoro).</t>
        </is>
      </c>
    </row>
    <row r="9" ht="28" customHeight="1">
      <c r="A9" s="6" t="inlineStr">
        <is>
          <t>4. Annunci Immobiliari in Zona (Asking Price)</t>
        </is>
      </c>
      <c r="B9" s="8" t="inlineStr">
        <is>
          <t>Richiesta Iniziale Proprietari</t>
        </is>
      </c>
      <c r="C9" s="10" t="n">
        <v>5.2</v>
      </c>
      <c r="D9" s="10" t="n">
        <v>7.35</v>
      </c>
      <c r="E9" s="32" t="inlineStr">
        <is>
          <t>52.000 – 73.500 €/ha</t>
        </is>
      </c>
      <c r="F9" s="32" t="inlineStr">
        <is>
          <t>3.962 – 5.600 €/pertica</t>
        </is>
      </c>
      <c r="G9" s="8" t="inlineStr">
        <is>
          <t>Idealista, Immobiliare.it, Trovacasa, Immobiliare 7 Valli (es. 50 pertiche a 275.000 €)</t>
        </is>
      </c>
      <c r="H9" s="8" t="inlineStr">
        <is>
          <t>Include un margine di trattativa medio dell'8-12% rispetto al prezzo finale di rogito.</t>
        </is>
      </c>
    </row>
    <row r="10" ht="28" customHeight="1">
      <c r="A10" s="37" t="inlineStr">
        <is>
          <t>5. Target Acquisizione Sviluppo Fotovoltaico</t>
        </is>
      </c>
      <c r="B10" s="38" t="inlineStr">
        <is>
          <t>REALE OFFERTA OPERATORI FV</t>
        </is>
      </c>
      <c r="C10" s="39" t="n">
        <v>6.5</v>
      </c>
      <c r="D10" s="39" t="n">
        <v>8</v>
      </c>
      <c r="E10" s="40" t="inlineStr">
        <is>
          <t>65.000 – 80.000 €/ha</t>
        </is>
      </c>
      <c r="F10" s="40" t="inlineStr">
        <is>
          <t>4.953 – 6.096 €/pertica</t>
        </is>
      </c>
      <c r="G10" s="38" t="inlineStr">
        <is>
          <t>Comparabili Sviluppatori Utility-Scale Nord Italia (Sunprime, Solare Industriale, Nibo Green)</t>
        </is>
      </c>
      <c r="H10" s="38" t="inlineStr">
        <is>
          <t>Fascia target dei 90 Lotti in Aperta Campagna: riconosce un premio del +20/+35% sul rogito agricolo.</t>
        </is>
      </c>
    </row>
    <row r="11" ht="28" customHeight="1">
      <c r="A11" s="6" t="inlineStr">
        <is>
          <t>6. Terreno Periurbano / Attesa Logistica</t>
        </is>
      </c>
      <c r="B11" s="8" t="inlineStr">
        <is>
          <t>Aspettativa Speculativa</t>
        </is>
      </c>
      <c r="C11" s="10" t="n">
        <v>10</v>
      </c>
      <c r="D11" s="10" t="n">
        <v>40</v>
      </c>
      <c r="E11" s="32" t="inlineStr">
        <is>
          <t>100.000 – 400.000 €/ha</t>
        </is>
      </c>
      <c r="F11" s="32" t="inlineStr">
        <is>
          <t>7.620 – 30.480 €/pertica</t>
        </is>
      </c>
      <c r="G11" s="8" t="inlineStr">
        <is>
          <t>Annunci Casa.it / Idealista per grandi aree agricole contigue a poli logistici (es. Castel S.G.)</t>
        </is>
      </c>
      <c r="H11" s="8" t="inlineStr">
        <is>
          <t>Riguarda i 26 Lotti 'Riserve Periurbane': non acquistare in piena proprietà se &gt;8 €/mq, offrire DDS.</t>
        </is>
      </c>
    </row>
    <row r="12" ht="28" customHeight="1">
      <c r="A12" s="41" t="inlineStr">
        <is>
          <t>7. Terreno Industriale / Logistico Urbanizzato (Zona D)</t>
        </is>
      </c>
      <c r="B12" s="42" t="inlineStr">
        <is>
          <t>REALE VENDITA EDIFICABILE</t>
        </is>
      </c>
      <c r="C12" s="16" t="n">
        <v>80</v>
      </c>
      <c r="D12" s="16" t="n">
        <v>150</v>
      </c>
      <c r="E12" s="43" t="inlineStr">
        <is>
          <t>800.000 – 1.500.000 €/ha</t>
        </is>
      </c>
      <c r="F12" s="43" t="inlineStr">
        <is>
          <t>Non quotato a pertica (solo €/mq)</t>
        </is>
      </c>
      <c r="G12" s="42" t="inlineStr">
        <is>
          <t>Annunci Immobiliare.it / Idealista / Demer (Le Mose 80-140 €/mq, Castel S.G. 110-150 €/mq, Fiorenzuola 80-116 €/mq)</t>
        </is>
      </c>
      <c r="H12" s="42" t="inlineStr">
        <is>
          <t>Escluso dal Gatekeeper SunPro: costo del suolo incompatibile con impianti fotovoltaici a terra.</t>
        </is>
      </c>
    </row>
    <row r="15">
      <c r="A15" s="31" t="inlineStr">
        <is>
          <t>B. CONFRONTO ECONOMICO E LEGALE DELLE 3 FORMULE CONTRATTUALI PER IL PROPRIETARIO PIACENTINO</t>
        </is>
      </c>
    </row>
    <row r="16" ht="28" customHeight="1">
      <c r="A16" s="3" t="inlineStr">
        <is>
          <t>Formula Contrattuale</t>
        </is>
      </c>
      <c r="B16" s="3" t="inlineStr">
        <is>
          <t>Valore al mq</t>
        </is>
      </c>
      <c r="C16" s="3" t="inlineStr">
        <is>
          <t>Valore per Ettaro (10.000 mq)</t>
        </is>
      </c>
      <c r="D16" s="3" t="inlineStr">
        <is>
          <t>Valore per Pertica Piacentina (762 mq)</t>
        </is>
      </c>
      <c r="E16" s="3" t="inlineStr">
        <is>
          <t>Incasso su Lotto Medio da 10 Ettari (131,2 Pertiche)</t>
        </is>
      </c>
      <c r="F16" s="3" t="inlineStr">
        <is>
          <t>Proprietà del Terreno a Fine Vita</t>
        </is>
      </c>
      <c r="G16" s="3" t="inlineStr">
        <is>
          <t>Diritto di Prelazione Confinanti (CD / IAP)</t>
        </is>
      </c>
      <c r="H16" s="3" t="inlineStr">
        <is>
          <t>Quando Usarla nella Trattativa SunPro</t>
        </is>
      </c>
    </row>
    <row r="17" ht="30" customHeight="1">
      <c r="A17" s="6" t="inlineStr">
        <is>
          <t>1. Affitto Agrario Ordinario (L. 203/1982)</t>
        </is>
      </c>
      <c r="B17" s="7" t="inlineStr">
        <is>
          <t>0,06 – 0,07 €/mq/anno</t>
        </is>
      </c>
      <c r="C17" s="32" t="inlineStr">
        <is>
          <t>580 – 700 €/ha/anno</t>
        </is>
      </c>
      <c r="D17" s="32" t="inlineStr">
        <is>
          <t>44 – 53 €/pertica/anno</t>
        </is>
      </c>
      <c r="E17" s="32" t="inlineStr">
        <is>
          <t>6.200 €/anno (186.000 € in 30 anni)</t>
        </is>
      </c>
      <c r="F17" s="8" t="inlineStr">
        <is>
          <t>Resta al proprietario</t>
        </is>
      </c>
      <c r="G17" s="6" t="inlineStr">
        <is>
          <t>Sì (in caso di futura vendita del fondo)</t>
        </is>
      </c>
      <c r="H17" s="8" t="inlineStr">
        <is>
          <t>È la baseline attuale del proprietario: il fotovoltaico offre da 4,5x a 5,2x tanto.</t>
        </is>
      </c>
    </row>
    <row r="18" ht="30" customHeight="1">
      <c r="A18" s="44" t="inlineStr">
        <is>
          <t>2. Diritto di Superficie Fotovoltaico 30 Anni (Art. 952 c.c.)</t>
        </is>
      </c>
      <c r="B18" s="45" t="inlineStr">
        <is>
          <t>0,29 – 0,35 €/mq/anno (Target: 0,30)</t>
        </is>
      </c>
      <c r="C18" s="46" t="inlineStr">
        <is>
          <t>2.900 – 3.500 €/ha/anno (Target: 3.000 €)</t>
        </is>
      </c>
      <c r="D18" s="46" t="inlineStr">
        <is>
          <t>221 – 267 €/pertica/anno (Target: 229 €)</t>
        </is>
      </c>
      <c r="E18" s="46" t="inlineStr">
        <is>
          <t>30.000 €/anno (900.000 € cumulati in 30 anni)</t>
        </is>
      </c>
      <c r="F18" s="47" t="inlineStr">
        <is>
          <t>Torna al proprietario dopo 30 anni (con fideiussione ripristino)</t>
        </is>
      </c>
      <c r="G18" s="44" t="inlineStr">
        <is>
          <t>NO — ESENTE PRELAZIONE AGRARIA (Cassazione consolidata)</t>
        </is>
      </c>
      <c r="H18" s="47" t="inlineStr">
        <is>
          <t>Ideale se ci sono confinanti Coltivatori Diretti ostili o per proprietari patrimonialisti.</t>
        </is>
      </c>
    </row>
    <row r="19" ht="30" customHeight="1">
      <c r="A19" s="37" t="inlineStr">
        <is>
          <t>3. Acquisto Piena Proprietà per Fotovoltaico (Rogito Definitivo)</t>
        </is>
      </c>
      <c r="B19" s="48" t="inlineStr">
        <is>
          <t>6,50 – 8,00 €/mq una tantum</t>
        </is>
      </c>
      <c r="C19" s="40" t="inlineStr">
        <is>
          <t>65.000 – 80.000 €/ha una tantum</t>
        </is>
      </c>
      <c r="D19" s="40" t="inlineStr">
        <is>
          <t>4.953 – 6.096 €/pertica una tantum</t>
        </is>
      </c>
      <c r="E19" s="40" t="inlineStr">
        <is>
          <t>650.000 – 800.000 € incassati subito al rogito</t>
        </is>
      </c>
      <c r="F19" s="38" t="inlineStr">
        <is>
          <t>Passa definitivamente a SunPro / SPV</t>
        </is>
      </c>
      <c r="G19" s="37" t="inlineStr">
        <is>
          <t>SÌ — 30 giorni dalla notifica a confinanti CD/IAP o affittuario</t>
        </is>
      </c>
      <c r="H19" s="38" t="inlineStr">
        <is>
          <t>Ideale quando il proprietario vuole liquidità immediata e non ci sono confinanti CD/IAP.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96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4" customWidth="1" min="2" max="2"/>
    <col width="28" customWidth="1" min="3" max="3"/>
    <col width="2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6" customWidth="1" min="18" max="18"/>
    <col width="28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48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90 LOTTI QUALIFICATI IN APERTA CAMPAGNA (A1 &amp; A21 PIACENZA) — DATI TECNICI, ROGITI REALI, PERTICHE E TARGET FV</t>
        </is>
      </c>
    </row>
    <row r="2">
      <c r="A2" s="2" t="inlineStr">
        <is>
          <t>Ogni lotto integra: Dati Catastali WMS AdE, Conversione in Pertiche Piacentine (762 mq), Rete AT/MT e CAPEX TICA, VAM Amministrativo, Prezzo Reale di Compravendita Agricola (Rogiti CREA/CCIAA), Annunci Portali, Terreni Industriali Zona D e Calcolatore Trattativa.</t>
        </is>
      </c>
    </row>
    <row r="3">
      <c r="A3" s="49" t="inlineStr">
        <is>
          <t>Tetto Massimo Mandato (€/mq):</t>
        </is>
      </c>
      <c r="C3" s="50" t="n">
        <v>8</v>
      </c>
      <c r="D3" s="51">
        <f>C3*762.02</f>
        <v/>
      </c>
    </row>
    <row r="5" ht="36" customHeight="1">
      <c r="A5" s="3" t="inlineStr">
        <is>
          <t>#</t>
        </is>
      </c>
      <c r="B5" s="3" t="inlineStr">
        <is>
          <t>ID Lotto</t>
        </is>
      </c>
      <c r="C5" s="3" t="inlineStr">
        <is>
          <t>Coorte / Origine</t>
        </is>
      </c>
      <c r="D5" s="3" t="inlineStr">
        <is>
          <t>Priorità Visura Sister</t>
        </is>
      </c>
      <c r="E5" s="3" t="inlineStr">
        <is>
          <t>Comune</t>
        </is>
      </c>
      <c r="F5" s="3" t="inlineStr">
        <is>
          <t>Belfiore</t>
        </is>
      </c>
      <c r="G5" s="3" t="inlineStr">
        <is>
          <t>Foglio</t>
        </is>
      </c>
      <c r="H5" s="3" t="inlineStr">
        <is>
          <t>Particella</t>
        </is>
      </c>
      <c r="I5" s="3" t="inlineStr">
        <is>
          <t>Sup. Totale (ha)</t>
        </is>
      </c>
      <c r="J5" s="3" t="inlineStr">
        <is>
          <t>Sup. Entro 300m (ha)</t>
        </is>
      </c>
      <c r="K5" s="3" t="inlineStr">
        <is>
          <t>Sup. Totale (Pertiche P.ne)</t>
        </is>
      </c>
      <c r="L5" s="3" t="inlineStr">
        <is>
          <t>Sup. ≤300m (Pertiche P.ne)</t>
        </is>
      </c>
      <c r="M5" s="5" t="inlineStr">
        <is>
          <t>Autostrada</t>
        </is>
      </c>
      <c r="N5" s="5" t="inlineStr">
        <is>
          <t>Dist. Asse (m)</t>
        </is>
      </c>
      <c r="O5" s="5" t="inlineStr">
        <is>
          <t>Dist. Linea AT (m)</t>
        </is>
      </c>
      <c r="P5" s="5" t="inlineStr">
        <is>
          <t>kV Linea AT</t>
        </is>
      </c>
      <c r="Q5" s="5" t="inlineStr">
        <is>
          <t>Stazione Elettrica OSM</t>
        </is>
      </c>
      <c r="R5" s="5" t="inlineStr">
        <is>
          <t>Dist. Stazione (km)</t>
        </is>
      </c>
      <c r="S5" s="5" t="inlineStr">
        <is>
          <t>Cabina Primaria ARERA</t>
        </is>
      </c>
      <c r="T5" s="5" t="inlineStr">
        <is>
          <t>Cavidotto MT 1.30x (m)</t>
        </is>
      </c>
      <c r="U5" s="5" t="inlineStr">
        <is>
          <t>CAPEX Allaccio TICA (€)</t>
        </is>
      </c>
      <c r="V5" s="5" t="inlineStr">
        <is>
          <t>Potenza Totale (MWp)</t>
        </is>
      </c>
      <c r="W5" s="5" t="inlineStr">
        <is>
          <t>Potenza ≤300m (MWp)</t>
        </is>
      </c>
      <c r="X5" s="5" t="inlineStr">
        <is>
          <t>Producibilità Tracker (MWh/a)</t>
        </is>
      </c>
      <c r="Y5" s="4" t="inlineStr">
        <is>
          <t>VAM Ufficiale (€/mq)</t>
        </is>
      </c>
      <c r="Z5" s="4" t="inlineStr">
        <is>
          <t>ROGITO REALE Agricolo Comune (€/mq)</t>
        </is>
      </c>
      <c r="AA5" s="4" t="inlineStr">
        <is>
          <t>ROGITO REALE Agricolo (€/Pertica)</t>
        </is>
      </c>
      <c r="AB5" s="4" t="inlineStr">
        <is>
          <t>Valore Mercato Agricolo Reale Lotto (€)</t>
        </is>
      </c>
      <c r="AC5" s="4" t="inlineStr">
        <is>
          <t>Annunci Portali Comune (€/mq)</t>
        </is>
      </c>
      <c r="AD5" s="4" t="inlineStr">
        <is>
          <t>Terreno Industriale Zona D Comune (€/mq)</t>
        </is>
      </c>
      <c r="AE5" s="4" t="inlineStr">
        <is>
          <t>Offerta FV Consigliata SunPro (€/mq)</t>
        </is>
      </c>
      <c r="AF5" s="4" t="inlineStr">
        <is>
          <t>Offerta FV Consigliata (€/Pertica)</t>
        </is>
      </c>
      <c r="AG5" s="4" t="inlineStr">
        <is>
          <t>Valore Offerta Consigliata Lotto (€)</t>
        </is>
      </c>
      <c r="AH5" s="4" t="inlineStr">
        <is>
          <t>Spesa Max Tetto Mandato 8 €/mq (€)</t>
        </is>
      </c>
      <c r="AI5" s="4" t="inlineStr">
        <is>
          <t>Affitto Agrario Attuale Stimato (€/anno)</t>
        </is>
      </c>
      <c r="AJ5" s="4" t="inlineStr">
        <is>
          <t>Canone DDS FV 30y (3.000 €/ha/a)</t>
        </is>
      </c>
      <c r="AK5" s="4" t="inlineStr">
        <is>
          <t>Incasso Proprietario DDS 30 Anni (€)</t>
        </is>
      </c>
      <c r="AL5" s="3" t="inlineStr">
        <is>
          <t>Score SunPro</t>
        </is>
      </c>
      <c r="AM5" s="3" t="inlineStr">
        <is>
          <t>Lat</t>
        </is>
      </c>
      <c r="AN5" s="3" t="inlineStr">
        <is>
          <t>Lon</t>
        </is>
      </c>
      <c r="AO5" s="3" t="inlineStr">
        <is>
          <t>Ortofoto Google</t>
        </is>
      </c>
      <c r="AP5" s="3" t="inlineStr">
        <is>
          <t>Note Tecniche e di Mercato</t>
        </is>
      </c>
      <c r="AQ5" s="3" t="inlineStr">
        <is>
          <t>Intestatario (da Visura Sister)</t>
        </is>
      </c>
      <c r="AR5" s="3" t="inlineStr">
        <is>
          <t>Prezzo Richiesto (€/mq)</t>
        </is>
      </c>
      <c r="AS5" s="3" t="inlineStr">
        <is>
          <t>Equivalente Richiesto (€/Pertica)</t>
        </is>
      </c>
      <c r="AT5" s="3" t="inlineStr">
        <is>
          <t>Entro Tetto 8 €/mq?</t>
        </is>
      </c>
    </row>
    <row r="6" ht="24" customHeight="1">
      <c r="A6" s="7" t="n">
        <v>1</v>
      </c>
      <c r="B6" s="32" t="inlineStr">
        <is>
          <t>PC-A21-001</t>
        </is>
      </c>
      <c r="C6" s="8" t="inlineStr">
        <is>
          <t>Top 50 Aperta Campagna</t>
        </is>
      </c>
      <c r="D6" s="8" t="inlineStr">
        <is>
          <t>🔥 Priorità 1 · Top Taglia / Rete AT Vicina</t>
        </is>
      </c>
      <c r="E6" s="6" t="inlineStr">
        <is>
          <t>Rottofreno</t>
        </is>
      </c>
      <c r="F6" s="7" t="inlineStr">
        <is>
          <t>H593</t>
        </is>
      </c>
      <c r="G6" s="7" t="n">
        <v>13</v>
      </c>
      <c r="H6" s="7" t="n">
        <v>31</v>
      </c>
      <c r="I6" s="52" t="n">
        <v>24.03</v>
      </c>
      <c r="J6" s="52" t="n">
        <v>15.52</v>
      </c>
      <c r="K6" s="53">
        <f>I6*13.1230</f>
        <v/>
      </c>
      <c r="L6" s="53">
        <f>J6*13.1230</f>
        <v/>
      </c>
      <c r="M6" s="7" t="inlineStr">
        <is>
          <t>A21</t>
        </is>
      </c>
      <c r="N6" s="54" t="n">
        <v>12</v>
      </c>
      <c r="O6" s="54" t="n">
        <v>1500</v>
      </c>
      <c r="P6" s="7" t="n">
        <v>132</v>
      </c>
      <c r="Q6" s="8" t="inlineStr">
        <is>
          <t>Rottofreno (132 kV)</t>
        </is>
      </c>
      <c r="R6" s="55" t="n">
        <v>2</v>
      </c>
      <c r="S6" s="8" t="inlineStr">
        <is>
          <t>CP Rottofreno (AC001E01165)</t>
        </is>
      </c>
      <c r="T6" s="54" t="n">
        <v>1459</v>
      </c>
      <c r="U6" s="11" t="n">
        <v>139835</v>
      </c>
      <c r="V6" s="56" t="n">
        <v>20.03</v>
      </c>
      <c r="W6" s="56" t="n">
        <v>12.93</v>
      </c>
      <c r="X6" s="54" t="n">
        <v>31902</v>
      </c>
      <c r="Y6" s="10" t="n">
        <v>5.65</v>
      </c>
      <c r="Z6" s="12" t="n">
        <v>5.65</v>
      </c>
      <c r="AA6" s="14">
        <f>Z6*762.02</f>
        <v/>
      </c>
      <c r="AB6" s="13">
        <f>I6*10000*Z6</f>
        <v/>
      </c>
      <c r="AC6" s="7" t="inlineStr">
        <is>
          <t>5.40-6.80</t>
        </is>
      </c>
      <c r="AD6" s="7" t="inlineStr">
        <is>
          <t>75-105</t>
        </is>
      </c>
      <c r="AE6" s="20" t="n">
        <v>7.5</v>
      </c>
      <c r="AF6" s="22">
        <f>AE6*762.02</f>
        <v/>
      </c>
      <c r="AG6" s="21">
        <f>I6*10000*AE6</f>
        <v/>
      </c>
      <c r="AH6" s="21">
        <f>I6*10000*$C$3</f>
        <v/>
      </c>
      <c r="AI6" s="11">
        <f>I6*650</f>
        <v/>
      </c>
      <c r="AJ6" s="57">
        <f>I6*3000</f>
        <v/>
      </c>
      <c r="AK6" s="57">
        <f>AJ6*30</f>
        <v/>
      </c>
      <c r="AL6" s="58" t="n">
        <v>93.5</v>
      </c>
      <c r="AM6" s="59" t="n">
        <v>45.067204</v>
      </c>
      <c r="AN6" s="59" t="n">
        <v>9.559271000000001</v>
      </c>
      <c r="AO6" s="60" t="inlineStr">
        <is>
          <t>Apri Google Maps</t>
        </is>
      </c>
      <c r="AP6" s="8" t="inlineStr">
        <is>
          <t>8,5 ha oltre i 300 m</t>
        </is>
      </c>
      <c r="AQ6" s="47" t="n"/>
      <c r="AR6" s="61" t="n"/>
      <c r="AS6" s="62">
        <f>IF(AR6="","",AR6*762.02)</f>
        <v/>
      </c>
      <c r="AT6" s="7">
        <f>IF(AR6="","",IF(AR6&lt;=$C$3,"SÌ (ENTRO 8€/MQ)","NO (SOPRA SOGLIA -&gt; PROPORRE DDS)"))</f>
        <v/>
      </c>
    </row>
    <row r="7" ht="24" customHeight="1">
      <c r="A7" s="7" t="n">
        <v>2</v>
      </c>
      <c r="B7" s="32" t="inlineStr">
        <is>
          <t>PC-A21-002</t>
        </is>
      </c>
      <c r="C7" s="8" t="inlineStr">
        <is>
          <t>Top 50 Aperta Campagna</t>
        </is>
      </c>
      <c r="D7" s="8" t="inlineStr">
        <is>
          <t>🔥 Priorità 1 · Top Taglia / Rete AT Vicina</t>
        </is>
      </c>
      <c r="E7" s="6" t="inlineStr">
        <is>
          <t>Caorso</t>
        </is>
      </c>
      <c r="F7" s="7" t="inlineStr">
        <is>
          <t>B643</t>
        </is>
      </c>
      <c r="G7" s="7" t="n">
        <v>19</v>
      </c>
      <c r="H7" s="7" t="n">
        <v>22</v>
      </c>
      <c r="I7" s="52" t="n">
        <v>11.84</v>
      </c>
      <c r="J7" s="52" t="n">
        <v>11.84</v>
      </c>
      <c r="K7" s="53">
        <f>I7*13.1230</f>
        <v/>
      </c>
      <c r="L7" s="53">
        <f>J7*13.1230</f>
        <v/>
      </c>
      <c r="M7" s="7" t="inlineStr">
        <is>
          <t>A21</t>
        </is>
      </c>
      <c r="N7" s="54" t="n">
        <v>10</v>
      </c>
      <c r="O7" s="54" t="n">
        <v>1263</v>
      </c>
      <c r="P7" s="7" t="n">
        <v>132</v>
      </c>
      <c r="Q7" s="8" t="inlineStr">
        <is>
          <t>Caorso (380 kV)</t>
        </is>
      </c>
      <c r="R7" s="55" t="n">
        <v>3.5</v>
      </c>
      <c r="S7" s="8" t="inlineStr">
        <is>
          <t>CP Pontenure (AC001E01166)</t>
        </is>
      </c>
      <c r="T7" s="54" t="n">
        <v>4550</v>
      </c>
      <c r="U7" s="11" t="n">
        <v>340750</v>
      </c>
      <c r="V7" s="56" t="n">
        <v>9.869999999999999</v>
      </c>
      <c r="W7" s="56" t="n">
        <v>9.869999999999999</v>
      </c>
      <c r="X7" s="54" t="n">
        <v>15720</v>
      </c>
      <c r="Y7" s="10" t="n">
        <v>5.55</v>
      </c>
      <c r="Z7" s="12" t="n">
        <v>5.45</v>
      </c>
      <c r="AA7" s="14">
        <f>Z7*762.02</f>
        <v/>
      </c>
      <c r="AB7" s="13">
        <f>I7*10000*Z7</f>
        <v/>
      </c>
      <c r="AC7" s="7" t="inlineStr">
        <is>
          <t>5.20-6.50</t>
        </is>
      </c>
      <c r="AD7" s="7" t="inlineStr">
        <is>
          <t>85-100</t>
        </is>
      </c>
      <c r="AE7" s="20" t="n">
        <v>7.35</v>
      </c>
      <c r="AF7" s="22">
        <f>AE7*762.02</f>
        <v/>
      </c>
      <c r="AG7" s="21">
        <f>I7*10000*AE7</f>
        <v/>
      </c>
      <c r="AH7" s="21">
        <f>I7*10000*$C$3</f>
        <v/>
      </c>
      <c r="AI7" s="11">
        <f>I7*620</f>
        <v/>
      </c>
      <c r="AJ7" s="57">
        <f>I7*3000</f>
        <v/>
      </c>
      <c r="AK7" s="57">
        <f>AJ7*30</f>
        <v/>
      </c>
      <c r="AL7" s="58" t="n">
        <v>81.5</v>
      </c>
      <c r="AM7" s="59" t="n">
        <v>45.04464</v>
      </c>
      <c r="AN7" s="59" t="n">
        <v>9.843602000000001</v>
      </c>
      <c r="AO7" s="60" t="inlineStr">
        <is>
          <t>Apri Google Maps</t>
        </is>
      </c>
      <c r="AP7" s="8" t="inlineStr">
        <is>
          <t>Area produttiva a ~372 m: verificare la destinazione urbanistica</t>
        </is>
      </c>
      <c r="AQ7" s="47" t="n"/>
      <c r="AR7" s="61" t="n"/>
      <c r="AS7" s="62">
        <f>IF(AR7="","",AR7*762.02)</f>
        <v/>
      </c>
      <c r="AT7" s="7">
        <f>IF(AR7="","",IF(AR7&lt;=$C$3,"SÌ (ENTRO 8€/MQ)","NO (SOPRA SOGLIA -&gt; PROPORRE DDS)"))</f>
        <v/>
      </c>
    </row>
    <row r="8" ht="24" customHeight="1">
      <c r="A8" s="7" t="n">
        <v>3</v>
      </c>
      <c r="B8" s="32" t="inlineStr">
        <is>
          <t>PC-A1-003</t>
        </is>
      </c>
      <c r="C8" s="8" t="inlineStr">
        <is>
          <t>Benchmark Test A1 (Pontenure-Cadeo)</t>
        </is>
      </c>
      <c r="D8" s="8" t="inlineStr">
        <is>
          <t>🔥 Priorità 1 · Top Taglia / Rete AT Vicina</t>
        </is>
      </c>
      <c r="E8" s="6" t="inlineStr">
        <is>
          <t>Cadeo</t>
        </is>
      </c>
      <c r="F8" s="7" t="inlineStr">
        <is>
          <t>B332</t>
        </is>
      </c>
      <c r="G8" s="7" t="n">
        <v>7</v>
      </c>
      <c r="H8" s="7" t="n">
        <v>77</v>
      </c>
      <c r="I8" s="52" t="n">
        <v>13.1</v>
      </c>
      <c r="J8" s="52" t="n">
        <v>11.2</v>
      </c>
      <c r="K8" s="53">
        <f>I8*13.1230</f>
        <v/>
      </c>
      <c r="L8" s="53">
        <f>J8*13.1230</f>
        <v/>
      </c>
      <c r="M8" s="7" t="inlineStr">
        <is>
          <t>A1</t>
        </is>
      </c>
      <c r="N8" s="54" t="n">
        <v>45</v>
      </c>
      <c r="O8" s="54" t="n">
        <v>85</v>
      </c>
      <c r="P8" s="7" t="n">
        <v>132</v>
      </c>
      <c r="Q8" s="8" t="inlineStr">
        <is>
          <t>Cadeo FS (132 kV)</t>
        </is>
      </c>
      <c r="R8" s="55" t="n">
        <v>3.1</v>
      </c>
      <c r="S8" s="8" t="inlineStr">
        <is>
          <t>CP Pontenure 132/15 kV</t>
        </is>
      </c>
      <c r="T8" s="54" t="n">
        <v>4030</v>
      </c>
      <c r="U8" s="11" t="n">
        <v>306950</v>
      </c>
      <c r="V8" s="56" t="n">
        <v>10.92</v>
      </c>
      <c r="W8" s="56" t="n">
        <v>9.33</v>
      </c>
      <c r="X8" s="54" t="n">
        <v>17392</v>
      </c>
      <c r="Y8" s="10" t="n">
        <v>5.45</v>
      </c>
      <c r="Z8" s="12" t="n">
        <v>5.75</v>
      </c>
      <c r="AA8" s="14">
        <f>Z8*762.02</f>
        <v/>
      </c>
      <c r="AB8" s="13">
        <f>I8*10000*Z8</f>
        <v/>
      </c>
      <c r="AC8" s="7" t="inlineStr">
        <is>
          <t>5.60-7.15</t>
        </is>
      </c>
      <c r="AD8" s="7" t="inlineStr">
        <is>
          <t>70-95</t>
        </is>
      </c>
      <c r="AE8" s="20" t="n">
        <v>7.2</v>
      </c>
      <c r="AF8" s="22">
        <f>AE8*762.02</f>
        <v/>
      </c>
      <c r="AG8" s="21">
        <f>I8*10000*AE8</f>
        <v/>
      </c>
      <c r="AH8" s="21">
        <f>I8*10000*$C$3</f>
        <v/>
      </c>
      <c r="AI8" s="11">
        <f>I8*640</f>
        <v/>
      </c>
      <c r="AJ8" s="57">
        <f>I8*3000</f>
        <v/>
      </c>
      <c r="AK8" s="57">
        <f>AJ8*30</f>
        <v/>
      </c>
      <c r="AL8" s="58" t="n">
        <v>84</v>
      </c>
      <c r="AM8" s="59" t="n">
        <v>44.994</v>
      </c>
      <c r="AN8" s="59" t="n">
        <v>9.827500000000001</v>
      </c>
      <c r="AO8" s="60" t="inlineStr">
        <is>
          <t>Apri Google Maps</t>
        </is>
      </c>
      <c r="AP8" s="8" t="inlineStr">
        <is>
          <t>Lotto 1 Benchmark Test A1 (contigue Part. 97, 63); sfuggito alla griglia standard perché sul bordo riquadro; 1,9 ha oltre i 300 m</t>
        </is>
      </c>
      <c r="AQ8" s="47" t="n"/>
      <c r="AR8" s="61" t="n"/>
      <c r="AS8" s="62">
        <f>IF(AR8="","",AR8*762.02)</f>
        <v/>
      </c>
      <c r="AT8" s="7">
        <f>IF(AR8="","",IF(AR8&lt;=$C$3,"SÌ (ENTRO 8€/MQ)","NO (SOPRA SOGLIA -&gt; PROPORRE DDS)"))</f>
        <v/>
      </c>
    </row>
    <row r="9" ht="24" customHeight="1">
      <c r="A9" s="7" t="n">
        <v>4</v>
      </c>
      <c r="B9" s="32" t="inlineStr">
        <is>
          <t>PC-A21-004</t>
        </is>
      </c>
      <c r="C9" s="8" t="inlineStr">
        <is>
          <t>Estensione WMS AdE (Griglia Sfalsata)</t>
        </is>
      </c>
      <c r="D9" s="8" t="inlineStr">
        <is>
          <t>🔥 Priorità 1 · Top Taglia / Rete AT Vicina</t>
        </is>
      </c>
      <c r="E9" s="6" t="inlineStr">
        <is>
          <t>Caorso</t>
        </is>
      </c>
      <c r="F9" s="7" t="inlineStr">
        <is>
          <t>B643</t>
        </is>
      </c>
      <c r="G9" s="7" t="n">
        <v>19</v>
      </c>
      <c r="H9" s="7" t="n">
        <v>20</v>
      </c>
      <c r="I9" s="52" t="n">
        <v>19.92</v>
      </c>
      <c r="J9" s="52" t="n">
        <v>10.53</v>
      </c>
      <c r="K9" s="53">
        <f>I9*13.1230</f>
        <v/>
      </c>
      <c r="L9" s="53">
        <f>J9*13.1230</f>
        <v/>
      </c>
      <c r="M9" s="7" t="inlineStr">
        <is>
          <t>A21</t>
        </is>
      </c>
      <c r="N9" s="54" t="n">
        <v>22</v>
      </c>
      <c r="O9" s="54" t="n">
        <v>1135</v>
      </c>
      <c r="P9" s="7" t="n">
        <v>132</v>
      </c>
      <c r="Q9" s="8" t="inlineStr">
        <is>
          <t>Caorso (380 kV)</t>
        </is>
      </c>
      <c r="R9" s="55" t="n">
        <v>2.8</v>
      </c>
      <c r="S9" s="8" t="inlineStr">
        <is>
          <t>CP Monticelli d'Ongina (AC001E01173)</t>
        </is>
      </c>
      <c r="T9" s="54" t="n">
        <v>3640</v>
      </c>
      <c r="U9" s="11" t="n">
        <v>281600</v>
      </c>
      <c r="V9" s="56" t="n">
        <v>16.6</v>
      </c>
      <c r="W9" s="56" t="n">
        <v>8.779999999999999</v>
      </c>
      <c r="X9" s="54" t="n">
        <v>26439</v>
      </c>
      <c r="Y9" s="10" t="n">
        <v>5.55</v>
      </c>
      <c r="Z9" s="12" t="n">
        <v>5.45</v>
      </c>
      <c r="AA9" s="14">
        <f>Z9*762.02</f>
        <v/>
      </c>
      <c r="AB9" s="13">
        <f>I9*10000*Z9</f>
        <v/>
      </c>
      <c r="AC9" s="7" t="inlineStr">
        <is>
          <t>5.20-6.50</t>
        </is>
      </c>
      <c r="AD9" s="7" t="inlineStr">
        <is>
          <t>85-100</t>
        </is>
      </c>
      <c r="AE9" s="20" t="n">
        <v>7.35</v>
      </c>
      <c r="AF9" s="22">
        <f>AE9*762.02</f>
        <v/>
      </c>
      <c r="AG9" s="21">
        <f>I9*10000*AE9</f>
        <v/>
      </c>
      <c r="AH9" s="21">
        <f>I9*10000*$C$3</f>
        <v/>
      </c>
      <c r="AI9" s="11">
        <f>I9*620</f>
        <v/>
      </c>
      <c r="AJ9" s="57">
        <f>I9*3000</f>
        <v/>
      </c>
      <c r="AK9" s="57">
        <f>AJ9*30</f>
        <v/>
      </c>
      <c r="AL9" s="58" t="n">
        <v>82</v>
      </c>
      <c r="AM9" s="59" t="n">
        <v>45.050136</v>
      </c>
      <c r="AN9" s="59" t="n">
        <v>9.850313999999999</v>
      </c>
      <c r="AO9" s="60" t="inlineStr">
        <is>
          <t>Apri Google Maps</t>
        </is>
      </c>
      <c r="AP9" s="8" t="inlineStr">
        <is>
          <t>9,4 ha oltre i 300 m</t>
        </is>
      </c>
      <c r="AQ9" s="47" t="n"/>
      <c r="AR9" s="61" t="n"/>
      <c r="AS9" s="62">
        <f>IF(AR9="","",AR9*762.02)</f>
        <v/>
      </c>
      <c r="AT9" s="7">
        <f>IF(AR9="","",IF(AR9&lt;=$C$3,"SÌ (ENTRO 8€/MQ)","NO (SOPRA SOGLIA -&gt; PROPORRE DDS)"))</f>
        <v/>
      </c>
    </row>
    <row r="10" ht="24" customHeight="1">
      <c r="A10" s="7" t="n">
        <v>5</v>
      </c>
      <c r="B10" s="32" t="inlineStr">
        <is>
          <t>PC-A1-005</t>
        </is>
      </c>
      <c r="C10" s="8" t="inlineStr">
        <is>
          <t>Estensione WMS AdE (Griglia Sfalsata)</t>
        </is>
      </c>
      <c r="D10" s="8" t="inlineStr">
        <is>
          <t>🔥 Priorità 1 · Top Taglia / Rete AT Vicina</t>
        </is>
      </c>
      <c r="E10" s="6" t="inlineStr">
        <is>
          <t>Cadeo</t>
        </is>
      </c>
      <c r="F10" s="7" t="inlineStr">
        <is>
          <t>B332</t>
        </is>
      </c>
      <c r="G10" s="7" t="n">
        <v>7</v>
      </c>
      <c r="H10" s="7" t="n">
        <v>83</v>
      </c>
      <c r="I10" s="52" t="n">
        <v>18.51</v>
      </c>
      <c r="J10" s="52" t="n">
        <v>9.640000000000001</v>
      </c>
      <c r="K10" s="53">
        <f>I10*13.1230</f>
        <v/>
      </c>
      <c r="L10" s="53">
        <f>J10*13.1230</f>
        <v/>
      </c>
      <c r="M10" s="7" t="inlineStr">
        <is>
          <t>A1</t>
        </is>
      </c>
      <c r="N10" s="54" t="n">
        <v>16</v>
      </c>
      <c r="O10" s="54" t="n">
        <v>68</v>
      </c>
      <c r="P10" s="7" t="n">
        <v>132</v>
      </c>
      <c r="Q10" s="8" t="inlineStr">
        <is>
          <t>Cadeo FS (132 kV)</t>
        </is>
      </c>
      <c r="R10" s="55" t="n">
        <v>3</v>
      </c>
      <c r="S10" s="8" t="inlineStr">
        <is>
          <t>CP Pontenure 132/15 kV</t>
        </is>
      </c>
      <c r="T10" s="54" t="n">
        <v>3900</v>
      </c>
      <c r="U10" s="11" t="n">
        <v>298500</v>
      </c>
      <c r="V10" s="56" t="n">
        <v>15.43</v>
      </c>
      <c r="W10" s="56" t="n">
        <v>8.029999999999999</v>
      </c>
      <c r="X10" s="54" t="n">
        <v>24575</v>
      </c>
      <c r="Y10" s="10" t="n">
        <v>5.45</v>
      </c>
      <c r="Z10" s="12" t="n">
        <v>5.75</v>
      </c>
      <c r="AA10" s="14">
        <f>Z10*762.02</f>
        <v/>
      </c>
      <c r="AB10" s="13">
        <f>I10*10000*Z10</f>
        <v/>
      </c>
      <c r="AC10" s="7" t="inlineStr">
        <is>
          <t>5.60-7.15</t>
        </is>
      </c>
      <c r="AD10" s="7" t="inlineStr">
        <is>
          <t>70-95</t>
        </is>
      </c>
      <c r="AE10" s="20" t="n">
        <v>7.2</v>
      </c>
      <c r="AF10" s="22">
        <f>AE10*762.02</f>
        <v/>
      </c>
      <c r="AG10" s="21">
        <f>I10*10000*AE10</f>
        <v/>
      </c>
      <c r="AH10" s="21">
        <f>I10*10000*$C$3</f>
        <v/>
      </c>
      <c r="AI10" s="11">
        <f>I10*640</f>
        <v/>
      </c>
      <c r="AJ10" s="57">
        <f>I10*3000</f>
        <v/>
      </c>
      <c r="AK10" s="57">
        <f>AJ10*30</f>
        <v/>
      </c>
      <c r="AL10" s="58" t="n">
        <v>84.5</v>
      </c>
      <c r="AM10" s="59" t="n">
        <v>44.991964</v>
      </c>
      <c r="AN10" s="59" t="n">
        <v>9.828073</v>
      </c>
      <c r="AO10" s="60" t="inlineStr">
        <is>
          <t>Apri Google Maps</t>
        </is>
      </c>
      <c r="AP10" s="8" t="inlineStr">
        <is>
          <t>Linea AT 132 kV a ~68 m; 8,9 ha oltre i 300 m</t>
        </is>
      </c>
      <c r="AQ10" s="47" t="n"/>
      <c r="AR10" s="61" t="n"/>
      <c r="AS10" s="62">
        <f>IF(AR10="","",AR10*762.02)</f>
        <v/>
      </c>
      <c r="AT10" s="7">
        <f>IF(AR10="","",IF(AR10&lt;=$C$3,"SÌ (ENTRO 8€/MQ)","NO (SOPRA SOGLIA -&gt; PROPORRE DDS)"))</f>
        <v/>
      </c>
    </row>
    <row r="11" ht="24" customHeight="1">
      <c r="A11" s="7" t="n">
        <v>6</v>
      </c>
      <c r="B11" s="32" t="inlineStr">
        <is>
          <t>PC-A21-006</t>
        </is>
      </c>
      <c r="C11" s="8" t="inlineStr">
        <is>
          <t>Estensione WMS AdE (Griglia Sfalsata)</t>
        </is>
      </c>
      <c r="D11" s="8" t="inlineStr">
        <is>
          <t>🔥 Priorità 1 · Top Taglia / Rete AT Vicina</t>
        </is>
      </c>
      <c r="E11" s="6" t="inlineStr">
        <is>
          <t>Rottofreno</t>
        </is>
      </c>
      <c r="F11" s="7" t="inlineStr">
        <is>
          <t>H593</t>
        </is>
      </c>
      <c r="G11" s="7" t="n">
        <v>14</v>
      </c>
      <c r="H11" s="7" t="n">
        <v>124</v>
      </c>
      <c r="I11" s="52" t="n">
        <v>10.02</v>
      </c>
      <c r="J11" s="52" t="n">
        <v>8.94</v>
      </c>
      <c r="K11" s="53">
        <f>I11*13.1230</f>
        <v/>
      </c>
      <c r="L11" s="53">
        <f>J11*13.1230</f>
        <v/>
      </c>
      <c r="M11" s="7" t="inlineStr">
        <is>
          <t>A21</t>
        </is>
      </c>
      <c r="N11" s="54" t="n">
        <v>13</v>
      </c>
      <c r="O11" s="54" t="n">
        <v>1527</v>
      </c>
      <c r="P11" s="7" t="n">
        <v>132</v>
      </c>
      <c r="Q11" s="8" t="inlineStr">
        <is>
          <t>Rottofreno (132 kV)</t>
        </is>
      </c>
      <c r="R11" s="55" t="n">
        <v>1.5</v>
      </c>
      <c r="S11" s="8" t="inlineStr">
        <is>
          <t>CP Rottofreno (AC001E01165)</t>
        </is>
      </c>
      <c r="T11" s="54" t="n">
        <v>1336</v>
      </c>
      <c r="U11" s="11" t="n">
        <v>131840</v>
      </c>
      <c r="V11" s="56" t="n">
        <v>8.35</v>
      </c>
      <c r="W11" s="56" t="n">
        <v>7.45</v>
      </c>
      <c r="X11" s="54" t="n">
        <v>13299</v>
      </c>
      <c r="Y11" s="10" t="n">
        <v>5.65</v>
      </c>
      <c r="Z11" s="12" t="n">
        <v>5.65</v>
      </c>
      <c r="AA11" s="14">
        <f>Z11*762.02</f>
        <v/>
      </c>
      <c r="AB11" s="13">
        <f>I11*10000*Z11</f>
        <v/>
      </c>
      <c r="AC11" s="7" t="inlineStr">
        <is>
          <t>5.40-6.80</t>
        </is>
      </c>
      <c r="AD11" s="7" t="inlineStr">
        <is>
          <t>75-105</t>
        </is>
      </c>
      <c r="AE11" s="20" t="n">
        <v>7.5</v>
      </c>
      <c r="AF11" s="22">
        <f>AE11*762.02</f>
        <v/>
      </c>
      <c r="AG11" s="21">
        <f>I11*10000*AE11</f>
        <v/>
      </c>
      <c r="AH11" s="21">
        <f>I11*10000*$C$3</f>
        <v/>
      </c>
      <c r="AI11" s="11">
        <f>I11*650</f>
        <v/>
      </c>
      <c r="AJ11" s="57">
        <f>I11*3000</f>
        <v/>
      </c>
      <c r="AK11" s="57">
        <f>AJ11*30</f>
        <v/>
      </c>
      <c r="AL11" s="58" t="n">
        <v>93</v>
      </c>
      <c r="AM11" s="59" t="n">
        <v>45.06626</v>
      </c>
      <c r="AN11" s="59" t="n">
        <v>9.569872999999999</v>
      </c>
      <c r="AO11" s="60" t="inlineStr">
        <is>
          <t>Apri Google Maps</t>
        </is>
      </c>
      <c r="AP11" s="8" t="inlineStr">
        <is>
          <t>Stazione elettrica Rottofreno a ~1,5 km; 1,1 ha oltre i 300 m</t>
        </is>
      </c>
      <c r="AQ11" s="47" t="n"/>
      <c r="AR11" s="61" t="n"/>
      <c r="AS11" s="62">
        <f>IF(AR11="","",AR11*762.02)</f>
        <v/>
      </c>
      <c r="AT11" s="7">
        <f>IF(AR11="","",IF(AR11&lt;=$C$3,"SÌ (ENTRO 8€/MQ)","NO (SOPRA SOGLIA -&gt; PROPORRE DDS)"))</f>
        <v/>
      </c>
    </row>
    <row r="12" ht="24" customHeight="1">
      <c r="A12" s="7" t="n">
        <v>7</v>
      </c>
      <c r="B12" s="32" t="inlineStr">
        <is>
          <t>PC-A1-007</t>
        </is>
      </c>
      <c r="C12" s="8" t="inlineStr">
        <is>
          <t>Estensione WMS AdE (Griglia Sfalsata)</t>
        </is>
      </c>
      <c r="D12" s="8" t="inlineStr">
        <is>
          <t>🔥 Priorità 1 · Top Taglia / Rete AT Vicina</t>
        </is>
      </c>
      <c r="E12" s="6" t="inlineStr">
        <is>
          <t>Cadeo</t>
        </is>
      </c>
      <c r="F12" s="7" t="inlineStr">
        <is>
          <t>B332</t>
        </is>
      </c>
      <c r="G12" s="7" t="n">
        <v>7</v>
      </c>
      <c r="H12" s="7" t="n">
        <v>162</v>
      </c>
      <c r="I12" s="52" t="n">
        <v>9.720000000000001</v>
      </c>
      <c r="J12" s="52" t="n">
        <v>8.83</v>
      </c>
      <c r="K12" s="53">
        <f>I12*13.1230</f>
        <v/>
      </c>
      <c r="L12" s="53">
        <f>J12*13.1230</f>
        <v/>
      </c>
      <c r="M12" s="7" t="inlineStr">
        <is>
          <t>A1</t>
        </is>
      </c>
      <c r="N12" s="54" t="n">
        <v>73</v>
      </c>
      <c r="O12" s="54" t="n">
        <v>121</v>
      </c>
      <c r="P12" s="7" t="n">
        <v>132</v>
      </c>
      <c r="Q12" s="8" t="inlineStr">
        <is>
          <t>Cadeo FS (132 kV)</t>
        </is>
      </c>
      <c r="R12" s="55" t="n">
        <v>3.3</v>
      </c>
      <c r="S12" s="8" t="inlineStr">
        <is>
          <t>CP Pontenure 132/15 kV</t>
        </is>
      </c>
      <c r="T12" s="54" t="n">
        <v>4290</v>
      </c>
      <c r="U12" s="11" t="n">
        <v>323850</v>
      </c>
      <c r="V12" s="56" t="n">
        <v>8.1</v>
      </c>
      <c r="W12" s="56" t="n">
        <v>7.36</v>
      </c>
      <c r="X12" s="54" t="n">
        <v>12901</v>
      </c>
      <c r="Y12" s="10" t="n">
        <v>5.45</v>
      </c>
      <c r="Z12" s="12" t="n">
        <v>5.75</v>
      </c>
      <c r="AA12" s="14">
        <f>Z12*762.02</f>
        <v/>
      </c>
      <c r="AB12" s="13">
        <f>I12*10000*Z12</f>
        <v/>
      </c>
      <c r="AC12" s="7" t="inlineStr">
        <is>
          <t>5.60-7.15</t>
        </is>
      </c>
      <c r="AD12" s="7" t="inlineStr">
        <is>
          <t>70-95</t>
        </is>
      </c>
      <c r="AE12" s="20" t="n">
        <v>7.2</v>
      </c>
      <c r="AF12" s="22">
        <f>AE12*762.02</f>
        <v/>
      </c>
      <c r="AG12" s="21">
        <f>I12*10000*AE12</f>
        <v/>
      </c>
      <c r="AH12" s="21">
        <f>I12*10000*$C$3</f>
        <v/>
      </c>
      <c r="AI12" s="11">
        <f>I12*640</f>
        <v/>
      </c>
      <c r="AJ12" s="57">
        <f>I12*3000</f>
        <v/>
      </c>
      <c r="AK12" s="57">
        <f>AJ12*30</f>
        <v/>
      </c>
      <c r="AL12" s="58" t="n">
        <v>83.5</v>
      </c>
      <c r="AM12" s="59" t="n">
        <v>44.995798</v>
      </c>
      <c r="AN12" s="59" t="n">
        <v>9.831310999999999</v>
      </c>
      <c r="AO12" s="60" t="inlineStr">
        <is>
          <t>Apri Google Maps</t>
        </is>
      </c>
      <c r="AP12" s="8" t="inlineStr">
        <is>
          <t>Linea AT 132 kV a ~121 m; 0,9 ha oltre i 300 m</t>
        </is>
      </c>
      <c r="AQ12" s="47" t="n"/>
      <c r="AR12" s="61" t="n"/>
      <c r="AS12" s="62">
        <f>IF(AR12="","",AR12*762.02)</f>
        <v/>
      </c>
      <c r="AT12" s="7">
        <f>IF(AR12="","",IF(AR12&lt;=$C$3,"SÌ (ENTRO 8€/MQ)","NO (SOPRA SOGLIA -&gt; PROPORRE DDS)"))</f>
        <v/>
      </c>
    </row>
    <row r="13" ht="24" customHeight="1">
      <c r="A13" s="7" t="n">
        <v>8</v>
      </c>
      <c r="B13" s="32" t="inlineStr">
        <is>
          <t>PC-A21-008</t>
        </is>
      </c>
      <c r="C13" s="8" t="inlineStr">
        <is>
          <t>Top 50 Aperta Campagna</t>
        </is>
      </c>
      <c r="D13" s="8" t="inlineStr">
        <is>
          <t>🔥 Priorità 1 · Top Taglia / Rete AT Vicina</t>
        </is>
      </c>
      <c r="E13" s="6" t="inlineStr">
        <is>
          <t>Rottofreno</t>
        </is>
      </c>
      <c r="F13" s="7" t="inlineStr">
        <is>
          <t>H593</t>
        </is>
      </c>
      <c r="G13" s="7" t="n">
        <v>15</v>
      </c>
      <c r="H13" s="7" t="n">
        <v>82</v>
      </c>
      <c r="I13" s="52" t="n">
        <v>10.67</v>
      </c>
      <c r="J13" s="52" t="n">
        <v>8.74</v>
      </c>
      <c r="K13" s="53">
        <f>I13*13.1230</f>
        <v/>
      </c>
      <c r="L13" s="53">
        <f>J13*13.1230</f>
        <v/>
      </c>
      <c r="M13" s="7" t="inlineStr">
        <is>
          <t>A21</t>
        </is>
      </c>
      <c r="N13" s="54" t="n">
        <v>11</v>
      </c>
      <c r="O13" s="54" t="n">
        <v>1276</v>
      </c>
      <c r="P13" s="7" t="n">
        <v>132</v>
      </c>
      <c r="Q13" s="8" t="inlineStr">
        <is>
          <t>Rottofreno (132 kV)</t>
        </is>
      </c>
      <c r="R13" s="55" t="n">
        <v>1.4</v>
      </c>
      <c r="S13" s="8" t="inlineStr">
        <is>
          <t>CP Rottofreno (AC001E01165)</t>
        </is>
      </c>
      <c r="T13" s="54" t="n">
        <v>1820</v>
      </c>
      <c r="U13" s="11" t="n">
        <v>163300</v>
      </c>
      <c r="V13" s="56" t="n">
        <v>8.890000000000001</v>
      </c>
      <c r="W13" s="56" t="n">
        <v>7.28</v>
      </c>
      <c r="X13" s="54" t="n">
        <v>14159</v>
      </c>
      <c r="Y13" s="10" t="n">
        <v>5.65</v>
      </c>
      <c r="Z13" s="12" t="n">
        <v>5.65</v>
      </c>
      <c r="AA13" s="14">
        <f>Z13*762.02</f>
        <v/>
      </c>
      <c r="AB13" s="13">
        <f>I13*10000*Z13</f>
        <v/>
      </c>
      <c r="AC13" s="7" t="inlineStr">
        <is>
          <t>5.40-6.80</t>
        </is>
      </c>
      <c r="AD13" s="7" t="inlineStr">
        <is>
          <t>75-105</t>
        </is>
      </c>
      <c r="AE13" s="20" t="n">
        <v>7.5</v>
      </c>
      <c r="AF13" s="22">
        <f>AE13*762.02</f>
        <v/>
      </c>
      <c r="AG13" s="21">
        <f>I13*10000*AE13</f>
        <v/>
      </c>
      <c r="AH13" s="21">
        <f>I13*10000*$C$3</f>
        <v/>
      </c>
      <c r="AI13" s="11">
        <f>I13*650</f>
        <v/>
      </c>
      <c r="AJ13" s="57">
        <f>I13*3000</f>
        <v/>
      </c>
      <c r="AK13" s="57">
        <f>AJ13*30</f>
        <v/>
      </c>
      <c r="AL13" s="58" t="n">
        <v>90.5</v>
      </c>
      <c r="AM13" s="59" t="n">
        <v>45.066237</v>
      </c>
      <c r="AN13" s="59" t="n">
        <v>9.579211000000001</v>
      </c>
      <c r="AO13" s="60" t="inlineStr">
        <is>
          <t>Apri Google Maps</t>
        </is>
      </c>
      <c r="AP13" s="8" t="inlineStr">
        <is>
          <t>Stazione elettrica Rottofreno a ~1,4 km; 1,9 ha oltre i 300 m</t>
        </is>
      </c>
      <c r="AQ13" s="47" t="n"/>
      <c r="AR13" s="61" t="n"/>
      <c r="AS13" s="62">
        <f>IF(AR13="","",AR13*762.02)</f>
        <v/>
      </c>
      <c r="AT13" s="7">
        <f>IF(AR13="","",IF(AR13&lt;=$C$3,"SÌ (ENTRO 8€/MQ)","NO (SOPRA SOGLIA -&gt; PROPORRE DDS)"))</f>
        <v/>
      </c>
    </row>
    <row r="14" ht="24" customHeight="1">
      <c r="A14" s="7" t="n">
        <v>9</v>
      </c>
      <c r="B14" s="32" t="inlineStr">
        <is>
          <t>PC-A21-009</t>
        </is>
      </c>
      <c r="C14" s="8" t="inlineStr">
        <is>
          <t>Top 50 Aperta Campagna</t>
        </is>
      </c>
      <c r="D14" s="8" t="inlineStr">
        <is>
          <t>🔥 Priorità 1 · Top Taglia / Rete AT Vicina</t>
        </is>
      </c>
      <c r="E14" s="6" t="inlineStr">
        <is>
          <t>Caorso</t>
        </is>
      </c>
      <c r="F14" s="7" t="inlineStr">
        <is>
          <t>B643</t>
        </is>
      </c>
      <c r="G14" s="7" t="n">
        <v>20</v>
      </c>
      <c r="H14" s="7" t="n">
        <v>213</v>
      </c>
      <c r="I14" s="52" t="n">
        <v>12.93</v>
      </c>
      <c r="J14" s="52" t="n">
        <v>8.720000000000001</v>
      </c>
      <c r="K14" s="53">
        <f>I14*13.1230</f>
        <v/>
      </c>
      <c r="L14" s="53">
        <f>J14*13.1230</f>
        <v/>
      </c>
      <c r="M14" s="7" t="inlineStr">
        <is>
          <t>A21</t>
        </is>
      </c>
      <c r="N14" s="54" t="n">
        <v>14</v>
      </c>
      <c r="O14" s="54" t="n">
        <v>1415</v>
      </c>
      <c r="P14" s="7" t="n">
        <v>132</v>
      </c>
      <c r="Q14" s="8" t="inlineStr">
        <is>
          <t>Caorso (380 kV)</t>
        </is>
      </c>
      <c r="R14" s="55" t="n">
        <v>2</v>
      </c>
      <c r="S14" s="8" t="inlineStr">
        <is>
          <t>CP Monticelli d'Ongina (AC001E01173)</t>
        </is>
      </c>
      <c r="T14" s="54" t="n">
        <v>2600</v>
      </c>
      <c r="U14" s="11" t="n">
        <v>214000</v>
      </c>
      <c r="V14" s="56" t="n">
        <v>10.78</v>
      </c>
      <c r="W14" s="56" t="n">
        <v>7.27</v>
      </c>
      <c r="X14" s="54" t="n">
        <v>17169</v>
      </c>
      <c r="Y14" s="10" t="n">
        <v>5.55</v>
      </c>
      <c r="Z14" s="12" t="n">
        <v>5.45</v>
      </c>
      <c r="AA14" s="14">
        <f>Z14*762.02</f>
        <v/>
      </c>
      <c r="AB14" s="13">
        <f>I14*10000*Z14</f>
        <v/>
      </c>
      <c r="AC14" s="7" t="inlineStr">
        <is>
          <t>5.20-6.50</t>
        </is>
      </c>
      <c r="AD14" s="7" t="inlineStr">
        <is>
          <t>85-100</t>
        </is>
      </c>
      <c r="AE14" s="20" t="n">
        <v>7.35</v>
      </c>
      <c r="AF14" s="22">
        <f>AE14*762.02</f>
        <v/>
      </c>
      <c r="AG14" s="21">
        <f>I14*10000*AE14</f>
        <v/>
      </c>
      <c r="AH14" s="21">
        <f>I14*10000*$C$3</f>
        <v/>
      </c>
      <c r="AI14" s="11">
        <f>I14*620</f>
        <v/>
      </c>
      <c r="AJ14" s="57">
        <f>I14*3000</f>
        <v/>
      </c>
      <c r="AK14" s="57">
        <f>AJ14*30</f>
        <v/>
      </c>
      <c r="AL14" s="58" t="n">
        <v>86.5</v>
      </c>
      <c r="AM14" s="59" t="n">
        <v>45.052923</v>
      </c>
      <c r="AN14" s="59" t="n">
        <v>9.860662</v>
      </c>
      <c r="AO14" s="60" t="inlineStr">
        <is>
          <t>Apri Google Maps</t>
        </is>
      </c>
      <c r="AP14" s="8" t="inlineStr">
        <is>
          <t>4,2 ha oltre i 300 m</t>
        </is>
      </c>
      <c r="AQ14" s="47" t="n"/>
      <c r="AR14" s="61" t="n"/>
      <c r="AS14" s="62">
        <f>IF(AR14="","",AR14*762.02)</f>
        <v/>
      </c>
      <c r="AT14" s="7">
        <f>IF(AR14="","",IF(AR14&lt;=$C$3,"SÌ (ENTRO 8€/MQ)","NO (SOPRA SOGLIA -&gt; PROPORRE DDS)"))</f>
        <v/>
      </c>
    </row>
    <row r="15" ht="24" customHeight="1">
      <c r="A15" s="7" t="n">
        <v>10</v>
      </c>
      <c r="B15" s="32" t="inlineStr">
        <is>
          <t>PC-A21-010</t>
        </is>
      </c>
      <c r="C15" s="8" t="inlineStr">
        <is>
          <t>Estensione WMS AdE (Griglia Sfalsata)</t>
        </is>
      </c>
      <c r="D15" s="8" t="inlineStr">
        <is>
          <t>🔥 Priorità 1 · Top Taglia / Rete AT Vicina</t>
        </is>
      </c>
      <c r="E15" s="6" t="inlineStr">
        <is>
          <t>Rottofreno</t>
        </is>
      </c>
      <c r="F15" s="7" t="inlineStr">
        <is>
          <t>H593</t>
        </is>
      </c>
      <c r="G15" s="7" t="n">
        <v>14</v>
      </c>
      <c r="H15" s="7" t="n">
        <v>29</v>
      </c>
      <c r="I15" s="52" t="n">
        <v>9.529999999999999</v>
      </c>
      <c r="J15" s="52" t="n">
        <v>8.27</v>
      </c>
      <c r="K15" s="53">
        <f>I15*13.1230</f>
        <v/>
      </c>
      <c r="L15" s="53">
        <f>J15*13.1230</f>
        <v/>
      </c>
      <c r="M15" s="7" t="inlineStr">
        <is>
          <t>A21</t>
        </is>
      </c>
      <c r="N15" s="54" t="n">
        <v>16</v>
      </c>
      <c r="O15" s="54" t="n">
        <v>1393</v>
      </c>
      <c r="P15" s="7" t="n">
        <v>132</v>
      </c>
      <c r="Q15" s="8" t="inlineStr">
        <is>
          <t>Rottofreno (132 kV)</t>
        </is>
      </c>
      <c r="R15" s="55" t="n">
        <v>1.4</v>
      </c>
      <c r="S15" s="8" t="inlineStr">
        <is>
          <t>CP Rottofreno (AC001E01165)</t>
        </is>
      </c>
      <c r="T15" s="54" t="n">
        <v>798</v>
      </c>
      <c r="U15" s="11" t="n">
        <v>96870</v>
      </c>
      <c r="V15" s="56" t="n">
        <v>7.94</v>
      </c>
      <c r="W15" s="56" t="n">
        <v>6.89</v>
      </c>
      <c r="X15" s="54" t="n">
        <v>12646</v>
      </c>
      <c r="Y15" s="10" t="n">
        <v>5.65</v>
      </c>
      <c r="Z15" s="12" t="n">
        <v>5.65</v>
      </c>
      <c r="AA15" s="14">
        <f>Z15*762.02</f>
        <v/>
      </c>
      <c r="AB15" s="13">
        <f>I15*10000*Z15</f>
        <v/>
      </c>
      <c r="AC15" s="7" t="inlineStr">
        <is>
          <t>5.40-6.80</t>
        </is>
      </c>
      <c r="AD15" s="7" t="inlineStr">
        <is>
          <t>75-105</t>
        </is>
      </c>
      <c r="AE15" s="20" t="n">
        <v>7.5</v>
      </c>
      <c r="AF15" s="22">
        <f>AE15*762.02</f>
        <v/>
      </c>
      <c r="AG15" s="21">
        <f>I15*10000*AE15</f>
        <v/>
      </c>
      <c r="AH15" s="21">
        <f>I15*10000*$C$3</f>
        <v/>
      </c>
      <c r="AI15" s="11">
        <f>I15*650</f>
        <v/>
      </c>
      <c r="AJ15" s="57">
        <f>I15*3000</f>
        <v/>
      </c>
      <c r="AK15" s="57">
        <f>AJ15*30</f>
        <v/>
      </c>
      <c r="AL15" s="58" t="n">
        <v>96.5</v>
      </c>
      <c r="AM15" s="59" t="n">
        <v>45.063272</v>
      </c>
      <c r="AN15" s="59" t="n">
        <v>9.565766999999999</v>
      </c>
      <c r="AO15" s="60" t="inlineStr">
        <is>
          <t>Apri Google Maps</t>
        </is>
      </c>
      <c r="AP15" s="8" t="inlineStr">
        <is>
          <t>Stazione elettrica Rottofreno a ~1,4 km; 1,3 ha oltre i 300 m</t>
        </is>
      </c>
      <c r="AQ15" s="47" t="n"/>
      <c r="AR15" s="61" t="n"/>
      <c r="AS15" s="62">
        <f>IF(AR15="","",AR15*762.02)</f>
        <v/>
      </c>
      <c r="AT15" s="7">
        <f>IF(AR15="","",IF(AR15&lt;=$C$3,"SÌ (ENTRO 8€/MQ)","NO (SOPRA SOGLIA -&gt; PROPORRE DDS)"))</f>
        <v/>
      </c>
    </row>
    <row r="16" ht="24" customHeight="1">
      <c r="A16" s="7" t="n">
        <v>11</v>
      </c>
      <c r="B16" s="32" t="inlineStr">
        <is>
          <t>PC-A21-011</t>
        </is>
      </c>
      <c r="C16" s="8" t="inlineStr">
        <is>
          <t>Top 50 Aperta Campagna</t>
        </is>
      </c>
      <c r="D16" s="8" t="inlineStr">
        <is>
          <t>🔥 Priorità 1 · Top Taglia / Rete AT Vicina</t>
        </is>
      </c>
      <c r="E16" s="6" t="inlineStr">
        <is>
          <t>San Pietro in Cerro</t>
        </is>
      </c>
      <c r="F16" s="7" t="inlineStr">
        <is>
          <t>G788</t>
        </is>
      </c>
      <c r="G16" s="7" t="n">
        <v>2</v>
      </c>
      <c r="H16" s="7" t="n">
        <v>1</v>
      </c>
      <c r="I16" s="52" t="n">
        <v>8.289999999999999</v>
      </c>
      <c r="J16" s="52" t="n">
        <v>8.27</v>
      </c>
      <c r="K16" s="53">
        <f>I16*13.1230</f>
        <v/>
      </c>
      <c r="L16" s="53">
        <f>J16*13.1230</f>
        <v/>
      </c>
      <c r="M16" s="7" t="inlineStr">
        <is>
          <t>A21</t>
        </is>
      </c>
      <c r="N16" s="54" t="n">
        <v>19</v>
      </c>
      <c r="O16" s="54" t="n">
        <v>49</v>
      </c>
      <c r="P16" s="7" t="n">
        <v>132</v>
      </c>
      <c r="Q16" s="8" t="inlineStr">
        <is>
          <t>Monticelli FS (132 kV)</t>
        </is>
      </c>
      <c r="R16" s="55" t="n">
        <v>0.2</v>
      </c>
      <c r="S16" s="8" t="inlineStr">
        <is>
          <t>CP Monticelli d'Ongina (AC001E01173)</t>
        </is>
      </c>
      <c r="T16" s="54" t="n">
        <v>260</v>
      </c>
      <c r="U16" s="11" t="n">
        <v>61900</v>
      </c>
      <c r="V16" s="56" t="n">
        <v>6.91</v>
      </c>
      <c r="W16" s="56" t="n">
        <v>6.89</v>
      </c>
      <c r="X16" s="54" t="n">
        <v>11006</v>
      </c>
      <c r="Y16" s="10" t="n">
        <v>5.5</v>
      </c>
      <c r="Z16" s="12" t="n">
        <v>5.15</v>
      </c>
      <c r="AA16" s="14">
        <f>Z16*762.02</f>
        <v/>
      </c>
      <c r="AB16" s="13">
        <f>I16*10000*Z16</f>
        <v/>
      </c>
      <c r="AC16" s="7" t="inlineStr">
        <is>
          <t>4.90-6.10</t>
        </is>
      </c>
      <c r="AD16" s="7" t="inlineStr">
        <is>
          <t>50-70</t>
        </is>
      </c>
      <c r="AE16" s="20" t="n">
        <v>7.05</v>
      </c>
      <c r="AF16" s="22">
        <f>AE16*762.02</f>
        <v/>
      </c>
      <c r="AG16" s="21">
        <f>I16*10000*AE16</f>
        <v/>
      </c>
      <c r="AH16" s="21">
        <f>I16*10000*$C$3</f>
        <v/>
      </c>
      <c r="AI16" s="11">
        <f>I16*580</f>
        <v/>
      </c>
      <c r="AJ16" s="57">
        <f>I16*3000</f>
        <v/>
      </c>
      <c r="AK16" s="57">
        <f>AJ16*30</f>
        <v/>
      </c>
      <c r="AL16" s="58" t="n">
        <v>99.5</v>
      </c>
      <c r="AM16" s="59" t="n">
        <v>45.059487</v>
      </c>
      <c r="AN16" s="59" t="n">
        <v>9.919453000000001</v>
      </c>
      <c r="AO16" s="60" t="inlineStr">
        <is>
          <t>Apri Google Maps</t>
        </is>
      </c>
      <c r="AP16" s="8" t="inlineStr">
        <is>
          <t>Linea AT 132 kV a ~49 m; Stazione elettrica Monticelli FS a ~0,2 km</t>
        </is>
      </c>
      <c r="AQ16" s="47" t="n"/>
      <c r="AR16" s="61" t="n"/>
      <c r="AS16" s="62">
        <f>IF(AR16="","",AR16*762.02)</f>
        <v/>
      </c>
      <c r="AT16" s="7">
        <f>IF(AR16="","",IF(AR16&lt;=$C$3,"SÌ (ENTRO 8€/MQ)","NO (SOPRA SOGLIA -&gt; PROPORRE DDS)"))</f>
        <v/>
      </c>
    </row>
    <row r="17" ht="24" customHeight="1">
      <c r="A17" s="7" t="n">
        <v>12</v>
      </c>
      <c r="B17" s="32" t="inlineStr">
        <is>
          <t>PC-A21-012</t>
        </is>
      </c>
      <c r="C17" s="8" t="inlineStr">
        <is>
          <t>Estensione WMS AdE (Griglia Sfalsata)</t>
        </is>
      </c>
      <c r="D17" s="8" t="inlineStr">
        <is>
          <t>🔥 Priorità 1 · Top Taglia / Rete AT Vicina</t>
        </is>
      </c>
      <c r="E17" s="6" t="inlineStr">
        <is>
          <t>Rottofreno</t>
        </is>
      </c>
      <c r="F17" s="7" t="inlineStr">
        <is>
          <t>H593</t>
        </is>
      </c>
      <c r="G17" s="7" t="n">
        <v>15</v>
      </c>
      <c r="H17" s="7" t="n">
        <v>4</v>
      </c>
      <c r="I17" s="52" t="n">
        <v>21.72</v>
      </c>
      <c r="J17" s="52" t="n">
        <v>8.08</v>
      </c>
      <c r="K17" s="53">
        <f>I17*13.1230</f>
        <v/>
      </c>
      <c r="L17" s="53">
        <f>J17*13.1230</f>
        <v/>
      </c>
      <c r="M17" s="7" t="inlineStr">
        <is>
          <t>A21</t>
        </is>
      </c>
      <c r="N17" s="54" t="n">
        <v>103</v>
      </c>
      <c r="O17" s="54" t="n">
        <v>1645</v>
      </c>
      <c r="P17" s="7" t="n">
        <v>132</v>
      </c>
      <c r="Q17" s="8" t="inlineStr">
        <is>
          <t>Rottofreno (132 kV)</t>
        </is>
      </c>
      <c r="R17" s="55" t="n">
        <v>1.7</v>
      </c>
      <c r="S17" s="8" t="inlineStr">
        <is>
          <t>CP Rottofreno (AC001E01165)</t>
        </is>
      </c>
      <c r="T17" s="54" t="n">
        <v>1742</v>
      </c>
      <c r="U17" s="11" t="n">
        <v>158230</v>
      </c>
      <c r="V17" s="56" t="n">
        <v>18.1</v>
      </c>
      <c r="W17" s="56" t="n">
        <v>6.73</v>
      </c>
      <c r="X17" s="54" t="n">
        <v>28828</v>
      </c>
      <c r="Y17" s="10" t="n">
        <v>5.65</v>
      </c>
      <c r="Z17" s="12" t="n">
        <v>5.65</v>
      </c>
      <c r="AA17" s="14">
        <f>Z17*762.02</f>
        <v/>
      </c>
      <c r="AB17" s="13">
        <f>I17*10000*Z17</f>
        <v/>
      </c>
      <c r="AC17" s="7" t="inlineStr">
        <is>
          <t>5.40-6.80</t>
        </is>
      </c>
      <c r="AD17" s="7" t="inlineStr">
        <is>
          <t>75-105</t>
        </is>
      </c>
      <c r="AE17" s="20" t="n">
        <v>7.5</v>
      </c>
      <c r="AF17" s="22">
        <f>AE17*762.02</f>
        <v/>
      </c>
      <c r="AG17" s="21">
        <f>I17*10000*AE17</f>
        <v/>
      </c>
      <c r="AH17" s="21">
        <f>I17*10000*$C$3</f>
        <v/>
      </c>
      <c r="AI17" s="11">
        <f>I17*650</f>
        <v/>
      </c>
      <c r="AJ17" s="57">
        <f>I17*3000</f>
        <v/>
      </c>
      <c r="AK17" s="57">
        <f>AJ17*30</f>
        <v/>
      </c>
      <c r="AL17" s="58" t="n">
        <v>91</v>
      </c>
      <c r="AM17" s="59" t="n">
        <v>45.068114</v>
      </c>
      <c r="AN17" s="59" t="n">
        <v>9.573416999999999</v>
      </c>
      <c r="AO17" s="60" t="inlineStr">
        <is>
          <t>Apri Google Maps</t>
        </is>
      </c>
      <c r="AP17" s="8" t="inlineStr">
        <is>
          <t>Stazione elettrica Rottofreno a ~1,7 km; 13,6 ha oltre i 300 m</t>
        </is>
      </c>
      <c r="AQ17" s="47" t="n"/>
      <c r="AR17" s="61" t="n"/>
      <c r="AS17" s="62">
        <f>IF(AR17="","",AR17*762.02)</f>
        <v/>
      </c>
      <c r="AT17" s="7">
        <f>IF(AR17="","",IF(AR17&lt;=$C$3,"SÌ (ENTRO 8€/MQ)","NO (SOPRA SOGLIA -&gt; PROPORRE DDS)"))</f>
        <v/>
      </c>
    </row>
    <row r="18" ht="24" customHeight="1">
      <c r="A18" s="7" t="n">
        <v>13</v>
      </c>
      <c r="B18" s="32" t="inlineStr">
        <is>
          <t>PC-A21-013</t>
        </is>
      </c>
      <c r="C18" s="8" t="inlineStr">
        <is>
          <t>Top 50 Aperta Campagna</t>
        </is>
      </c>
      <c r="D18" s="8" t="inlineStr">
        <is>
          <t>🔥 Priorità 1 · Top Taglia / Rete AT Vicina</t>
        </is>
      </c>
      <c r="E18" s="6" t="inlineStr">
        <is>
          <t>Rottofreno</t>
        </is>
      </c>
      <c r="F18" s="7" t="inlineStr">
        <is>
          <t>H593</t>
        </is>
      </c>
      <c r="G18" s="7" t="n">
        <v>20</v>
      </c>
      <c r="H18" s="7" t="n">
        <v>415</v>
      </c>
      <c r="I18" s="52" t="n">
        <v>9.789999999999999</v>
      </c>
      <c r="J18" s="52" t="n">
        <v>7.73</v>
      </c>
      <c r="K18" s="53">
        <f>I18*13.1230</f>
        <v/>
      </c>
      <c r="L18" s="53">
        <f>J18*13.1230</f>
        <v/>
      </c>
      <c r="M18" s="7" t="inlineStr">
        <is>
          <t>A21</t>
        </is>
      </c>
      <c r="N18" s="54" t="n">
        <v>14</v>
      </c>
      <c r="O18" s="54" t="n">
        <v>1228</v>
      </c>
      <c r="P18" s="7" t="n">
        <v>132</v>
      </c>
      <c r="Q18" s="8" t="inlineStr">
        <is>
          <t>Edison Sarmato G1 (220 kV)</t>
        </is>
      </c>
      <c r="R18" s="55" t="n">
        <v>2.9</v>
      </c>
      <c r="S18" s="8" t="inlineStr">
        <is>
          <t>CP Rottofreno (AC001E01165)</t>
        </is>
      </c>
      <c r="T18" s="54" t="n">
        <v>2504</v>
      </c>
      <c r="U18" s="11" t="n">
        <v>207760</v>
      </c>
      <c r="V18" s="56" t="n">
        <v>8.16</v>
      </c>
      <c r="W18" s="56" t="n">
        <v>6.44</v>
      </c>
      <c r="X18" s="54" t="n">
        <v>12996</v>
      </c>
      <c r="Y18" s="10" t="n">
        <v>5.65</v>
      </c>
      <c r="Z18" s="12" t="n">
        <v>5.65</v>
      </c>
      <c r="AA18" s="14">
        <f>Z18*762.02</f>
        <v/>
      </c>
      <c r="AB18" s="13">
        <f>I18*10000*Z18</f>
        <v/>
      </c>
      <c r="AC18" s="7" t="inlineStr">
        <is>
          <t>5.40-6.80</t>
        </is>
      </c>
      <c r="AD18" s="7" t="inlineStr">
        <is>
          <t>75-105</t>
        </is>
      </c>
      <c r="AE18" s="20" t="n">
        <v>7.5</v>
      </c>
      <c r="AF18" s="22">
        <f>AE18*762.02</f>
        <v/>
      </c>
      <c r="AG18" s="21">
        <f>I18*10000*AE18</f>
        <v/>
      </c>
      <c r="AH18" s="21">
        <f>I18*10000*$C$3</f>
        <v/>
      </c>
      <c r="AI18" s="11">
        <f>I18*650</f>
        <v/>
      </c>
      <c r="AJ18" s="57">
        <f>I18*3000</f>
        <v/>
      </c>
      <c r="AK18" s="57">
        <f>AJ18*30</f>
        <v/>
      </c>
      <c r="AL18" s="58" t="n">
        <v>86</v>
      </c>
      <c r="AM18" s="59" t="n">
        <v>45.063751</v>
      </c>
      <c r="AN18" s="59" t="n">
        <v>9.54148</v>
      </c>
      <c r="AO18" s="60" t="inlineStr">
        <is>
          <t>Apri Google Maps</t>
        </is>
      </c>
      <c r="AP18" s="8" t="inlineStr">
        <is>
          <t>2,1 ha oltre i 300 m</t>
        </is>
      </c>
      <c r="AQ18" s="47" t="n"/>
      <c r="AR18" s="61" t="n"/>
      <c r="AS18" s="62">
        <f>IF(AR18="","",AR18*762.02)</f>
        <v/>
      </c>
      <c r="AT18" s="7">
        <f>IF(AR18="","",IF(AR18&lt;=$C$3,"SÌ (ENTRO 8€/MQ)","NO (SOPRA SOGLIA -&gt; PROPORRE DDS)"))</f>
        <v/>
      </c>
    </row>
    <row r="19" ht="24" customHeight="1">
      <c r="A19" s="7" t="n">
        <v>14</v>
      </c>
      <c r="B19" s="32" t="inlineStr">
        <is>
          <t>PC-A21-014</t>
        </is>
      </c>
      <c r="C19" s="8" t="inlineStr">
        <is>
          <t>Top 50 Aperta Campagna</t>
        </is>
      </c>
      <c r="D19" s="8" t="inlineStr">
        <is>
          <t>🔥 Priorità 1 · Top Taglia / Rete AT Vicina</t>
        </is>
      </c>
      <c r="E19" s="6" t="inlineStr">
        <is>
          <t>Caorso</t>
        </is>
      </c>
      <c r="F19" s="7" t="inlineStr">
        <is>
          <t>B643</t>
        </is>
      </c>
      <c r="G19" s="7" t="n">
        <v>19</v>
      </c>
      <c r="H19" s="7" t="n">
        <v>55</v>
      </c>
      <c r="I19" s="52" t="n">
        <v>11.65</v>
      </c>
      <c r="J19" s="52" t="n">
        <v>7.69</v>
      </c>
      <c r="K19" s="53">
        <f>I19*13.1230</f>
        <v/>
      </c>
      <c r="L19" s="53">
        <f>J19*13.1230</f>
        <v/>
      </c>
      <c r="M19" s="7" t="inlineStr">
        <is>
          <t>A21</t>
        </is>
      </c>
      <c r="N19" s="54" t="n">
        <v>79</v>
      </c>
      <c r="O19" s="54" t="n">
        <v>1617</v>
      </c>
      <c r="P19" s="7" t="n">
        <v>132</v>
      </c>
      <c r="Q19" s="8" t="inlineStr">
        <is>
          <t>Caorso (380 kV)</t>
        </is>
      </c>
      <c r="R19" s="55" t="n">
        <v>3.1</v>
      </c>
      <c r="S19" s="8" t="inlineStr">
        <is>
          <t>CP Cortemaggiore (AC001E01172)</t>
        </is>
      </c>
      <c r="T19" s="54" t="n">
        <v>4030</v>
      </c>
      <c r="U19" s="11" t="n">
        <v>306950</v>
      </c>
      <c r="V19" s="56" t="n">
        <v>9.710000000000001</v>
      </c>
      <c r="W19" s="56" t="n">
        <v>6.41</v>
      </c>
      <c r="X19" s="54" t="n">
        <v>15465</v>
      </c>
      <c r="Y19" s="10" t="n">
        <v>5.55</v>
      </c>
      <c r="Z19" s="12" t="n">
        <v>5.45</v>
      </c>
      <c r="AA19" s="14">
        <f>Z19*762.02</f>
        <v/>
      </c>
      <c r="AB19" s="13">
        <f>I19*10000*Z19</f>
        <v/>
      </c>
      <c r="AC19" s="7" t="inlineStr">
        <is>
          <t>5.20-6.50</t>
        </is>
      </c>
      <c r="AD19" s="7" t="inlineStr">
        <is>
          <t>85-100</t>
        </is>
      </c>
      <c r="AE19" s="20" t="n">
        <v>7.35</v>
      </c>
      <c r="AF19" s="22">
        <f>AE19*762.02</f>
        <v/>
      </c>
      <c r="AG19" s="21">
        <f>I19*10000*AE19</f>
        <v/>
      </c>
      <c r="AH19" s="21">
        <f>I19*10000*$C$3</f>
        <v/>
      </c>
      <c r="AI19" s="11">
        <f>I19*620</f>
        <v/>
      </c>
      <c r="AJ19" s="57">
        <f>I19*3000</f>
        <v/>
      </c>
      <c r="AK19" s="57">
        <f>AJ19*30</f>
        <v/>
      </c>
      <c r="AL19" s="58" t="n">
        <v>81.5</v>
      </c>
      <c r="AM19" s="59" t="n">
        <v>45.045056</v>
      </c>
      <c r="AN19" s="59" t="n">
        <v>9.851336</v>
      </c>
      <c r="AO19" s="60" t="inlineStr">
        <is>
          <t>Apri Google Maps</t>
        </is>
      </c>
      <c r="AP19" s="8" t="inlineStr">
        <is>
          <t>Area residenziale a ~334 m: verificare la destinazione urbanistica; 4,0 ha oltre i 300 m</t>
        </is>
      </c>
      <c r="AQ19" s="47" t="n"/>
      <c r="AR19" s="61" t="n"/>
      <c r="AS19" s="62">
        <f>IF(AR19="","",AR19*762.02)</f>
        <v/>
      </c>
      <c r="AT19" s="7">
        <f>IF(AR19="","",IF(AR19&lt;=$C$3,"SÌ (ENTRO 8€/MQ)","NO (SOPRA SOGLIA -&gt; PROPORRE DDS)"))</f>
        <v/>
      </c>
    </row>
    <row r="20" ht="24" customHeight="1">
      <c r="A20" s="7" t="n">
        <v>15</v>
      </c>
      <c r="B20" s="32" t="inlineStr">
        <is>
          <t>PC-A21-015</t>
        </is>
      </c>
      <c r="C20" s="8" t="inlineStr">
        <is>
          <t>Top 50 Aperta Campagna</t>
        </is>
      </c>
      <c r="D20" s="8" t="inlineStr">
        <is>
          <t>🔥 Priorità 1 · Top Taglia / Rete AT Vicina</t>
        </is>
      </c>
      <c r="E20" s="6" t="inlineStr">
        <is>
          <t>Calendasco</t>
        </is>
      </c>
      <c r="F20" s="7" t="inlineStr">
        <is>
          <t>B405</t>
        </is>
      </c>
      <c r="G20" s="7" t="n">
        <v>31</v>
      </c>
      <c r="H20" s="7" t="n">
        <v>79</v>
      </c>
      <c r="I20" s="52" t="n">
        <v>12.09</v>
      </c>
      <c r="J20" s="52" t="n">
        <v>7.42</v>
      </c>
      <c r="K20" s="53">
        <f>I20*13.1230</f>
        <v/>
      </c>
      <c r="L20" s="53">
        <f>J20*13.1230</f>
        <v/>
      </c>
      <c r="M20" s="7" t="inlineStr">
        <is>
          <t>A21</t>
        </is>
      </c>
      <c r="N20" s="54" t="n">
        <v>10</v>
      </c>
      <c r="O20" s="54" t="n">
        <v>192</v>
      </c>
      <c r="P20" s="7" t="n">
        <v>132</v>
      </c>
      <c r="Q20" s="8" t="inlineStr">
        <is>
          <t>(senza nome) (132 kV)</t>
        </is>
      </c>
      <c r="R20" s="55" t="n">
        <v>1.3</v>
      </c>
      <c r="S20" s="8" t="inlineStr">
        <is>
          <t>CP Piacenza (AC001E01167)</t>
        </is>
      </c>
      <c r="T20" s="54" t="n">
        <v>1690</v>
      </c>
      <c r="U20" s="11" t="n">
        <v>154850</v>
      </c>
      <c r="V20" s="56" t="n">
        <v>10.08</v>
      </c>
      <c r="W20" s="56" t="n">
        <v>6.18</v>
      </c>
      <c r="X20" s="54" t="n">
        <v>16054</v>
      </c>
      <c r="Y20" s="10" t="n">
        <v>5.65</v>
      </c>
      <c r="Z20" s="12" t="n">
        <v>5.4</v>
      </c>
      <c r="AA20" s="14">
        <f>Z20*762.02</f>
        <v/>
      </c>
      <c r="AB20" s="13">
        <f>I20*10000*Z20</f>
        <v/>
      </c>
      <c r="AC20" s="7" t="inlineStr">
        <is>
          <t>5.20-6.40</t>
        </is>
      </c>
      <c r="AD20" s="7" t="inlineStr">
        <is>
          <t>65-90</t>
        </is>
      </c>
      <c r="AE20" s="20" t="n">
        <v>7.25</v>
      </c>
      <c r="AF20" s="22">
        <f>AE20*762.02</f>
        <v/>
      </c>
      <c r="AG20" s="21">
        <f>I20*10000*AE20</f>
        <v/>
      </c>
      <c r="AH20" s="21">
        <f>I20*10000*$C$3</f>
        <v/>
      </c>
      <c r="AI20" s="11">
        <f>I20*610</f>
        <v/>
      </c>
      <c r="AJ20" s="57">
        <f>I20*3000</f>
        <v/>
      </c>
      <c r="AK20" s="57">
        <f>AJ20*30</f>
        <v/>
      </c>
      <c r="AL20" s="58" t="n">
        <v>90.5</v>
      </c>
      <c r="AM20" s="59" t="n">
        <v>45.065325</v>
      </c>
      <c r="AN20" s="59" t="n">
        <v>9.618428</v>
      </c>
      <c r="AO20" s="60" t="inlineStr">
        <is>
          <t>Apri Google Maps</t>
        </is>
      </c>
      <c r="AP20" s="8" t="inlineStr">
        <is>
          <t>Linea AT 132 kV a ~192 m; Stazione elettrica a ~1,3 km; 4,7 ha oltre i 300 m</t>
        </is>
      </c>
      <c r="AQ20" s="47" t="n"/>
      <c r="AR20" s="61" t="n"/>
      <c r="AS20" s="62">
        <f>IF(AR20="","",AR20*762.02)</f>
        <v/>
      </c>
      <c r="AT20" s="7">
        <f>IF(AR20="","",IF(AR20&lt;=$C$3,"SÌ (ENTRO 8€/MQ)","NO (SOPRA SOGLIA -&gt; PROPORRE DDS)"))</f>
        <v/>
      </c>
    </row>
    <row r="21" ht="24" customHeight="1">
      <c r="A21" s="7" t="n">
        <v>16</v>
      </c>
      <c r="B21" s="32" t="inlineStr">
        <is>
          <t>PC-A1-016</t>
        </is>
      </c>
      <c r="C21" s="8" t="inlineStr">
        <is>
          <t>Benchmark Test A1 (Pontenure-Cadeo)</t>
        </is>
      </c>
      <c r="D21" s="8" t="inlineStr">
        <is>
          <t>🔥 Priorità 1 · Top Taglia / Rete AT Vicina</t>
        </is>
      </c>
      <c r="E21" s="6" t="inlineStr">
        <is>
          <t>Cadeo</t>
        </is>
      </c>
      <c r="F21" s="7" t="inlineStr">
        <is>
          <t>B332</t>
        </is>
      </c>
      <c r="G21" s="7" t="n">
        <v>7</v>
      </c>
      <c r="H21" s="7" t="n">
        <v>149</v>
      </c>
      <c r="I21" s="52" t="n">
        <v>8.1</v>
      </c>
      <c r="J21" s="52" t="n">
        <v>7.4</v>
      </c>
      <c r="K21" s="53">
        <f>I21*13.1230</f>
        <v/>
      </c>
      <c r="L21" s="53">
        <f>J21*13.1230</f>
        <v/>
      </c>
      <c r="M21" s="7" t="inlineStr">
        <is>
          <t>A1</t>
        </is>
      </c>
      <c r="N21" s="54" t="n">
        <v>65</v>
      </c>
      <c r="O21" s="54" t="n">
        <v>110</v>
      </c>
      <c r="P21" s="7" t="n">
        <v>132</v>
      </c>
      <c r="Q21" s="8" t="inlineStr">
        <is>
          <t>Cadeo FS (132 kV)</t>
        </is>
      </c>
      <c r="R21" s="55" t="n">
        <v>3.2</v>
      </c>
      <c r="S21" s="8" t="inlineStr">
        <is>
          <t>CP Pontenure 132/15 kV</t>
        </is>
      </c>
      <c r="T21" s="54" t="n">
        <v>4160</v>
      </c>
      <c r="U21" s="11" t="n">
        <v>315400</v>
      </c>
      <c r="V21" s="56" t="n">
        <v>6.75</v>
      </c>
      <c r="W21" s="56" t="n">
        <v>6.17</v>
      </c>
      <c r="X21" s="54" t="n">
        <v>10751</v>
      </c>
      <c r="Y21" s="10" t="n">
        <v>5.45</v>
      </c>
      <c r="Z21" s="12" t="n">
        <v>5.75</v>
      </c>
      <c r="AA21" s="14">
        <f>Z21*762.02</f>
        <v/>
      </c>
      <c r="AB21" s="13">
        <f>I21*10000*Z21</f>
        <v/>
      </c>
      <c r="AC21" s="7" t="inlineStr">
        <is>
          <t>5.60-7.15</t>
        </is>
      </c>
      <c r="AD21" s="7" t="inlineStr">
        <is>
          <t>70-95</t>
        </is>
      </c>
      <c r="AE21" s="20" t="n">
        <v>7.2</v>
      </c>
      <c r="AF21" s="22">
        <f>AE21*762.02</f>
        <v/>
      </c>
      <c r="AG21" s="21">
        <f>I21*10000*AE21</f>
        <v/>
      </c>
      <c r="AH21" s="21">
        <f>I21*10000*$C$3</f>
        <v/>
      </c>
      <c r="AI21" s="11">
        <f>I21*640</f>
        <v/>
      </c>
      <c r="AJ21" s="57">
        <f>I21*3000</f>
        <v/>
      </c>
      <c r="AK21" s="57">
        <f>AJ21*30</f>
        <v/>
      </c>
      <c r="AL21" s="58" t="n">
        <v>83.5</v>
      </c>
      <c r="AM21" s="59" t="n">
        <v>44.9965</v>
      </c>
      <c r="AN21" s="59" t="n">
        <v>9.8285</v>
      </c>
      <c r="AO21" s="60" t="inlineStr">
        <is>
          <t>Apri Google Maps</t>
        </is>
      </c>
      <c r="AP21" s="8" t="inlineStr">
        <is>
          <t>Lotto 2 Benchmark Test A1 (tra A1 e linea AV Milano-Bologna); sfuggito alla griglia standard per taglio bordo riquadro</t>
        </is>
      </c>
      <c r="AQ21" s="47" t="n"/>
      <c r="AR21" s="61" t="n"/>
      <c r="AS21" s="62">
        <f>IF(AR21="","",AR21*762.02)</f>
        <v/>
      </c>
      <c r="AT21" s="7">
        <f>IF(AR21="","",IF(AR21&lt;=$C$3,"SÌ (ENTRO 8€/MQ)","NO (SOPRA SOGLIA -&gt; PROPORRE DDS)"))</f>
        <v/>
      </c>
    </row>
    <row r="22" ht="24" customHeight="1">
      <c r="A22" s="7" t="n">
        <v>17</v>
      </c>
      <c r="B22" s="32" t="inlineStr">
        <is>
          <t>PC-A21-017</t>
        </is>
      </c>
      <c r="C22" s="8" t="inlineStr">
        <is>
          <t>Top 50 Aperta Campagna</t>
        </is>
      </c>
      <c r="D22" s="8" t="inlineStr">
        <is>
          <t>🔥 Priorità 1 · Top Taglia / Rete AT Vicina</t>
        </is>
      </c>
      <c r="E22" s="6" t="inlineStr">
        <is>
          <t>Caorso</t>
        </is>
      </c>
      <c r="F22" s="7" t="inlineStr">
        <is>
          <t>B643</t>
        </is>
      </c>
      <c r="G22" s="7" t="n">
        <v>18</v>
      </c>
      <c r="H22" s="7" t="n">
        <v>187</v>
      </c>
      <c r="I22" s="52" t="n">
        <v>12.6</v>
      </c>
      <c r="J22" s="52" t="n">
        <v>7.38</v>
      </c>
      <c r="K22" s="53">
        <f>I22*13.1230</f>
        <v/>
      </c>
      <c r="L22" s="53">
        <f>J22*13.1230</f>
        <v/>
      </c>
      <c r="M22" s="7" t="inlineStr">
        <is>
          <t>A21</t>
        </is>
      </c>
      <c r="N22" s="54" t="n">
        <v>17</v>
      </c>
      <c r="O22" s="54" t="n">
        <v>55</v>
      </c>
      <c r="P22" s="7" t="n">
        <v>132</v>
      </c>
      <c r="Q22" s="8" t="inlineStr">
        <is>
          <t>Caorso (380 kV)</t>
        </is>
      </c>
      <c r="R22" s="55" t="n">
        <v>4.2</v>
      </c>
      <c r="S22" s="8" t="inlineStr">
        <is>
          <t>CP Pontenure (AC001E01166)</t>
        </is>
      </c>
      <c r="T22" s="54" t="n">
        <v>5460</v>
      </c>
      <c r="U22" s="11" t="n">
        <v>399900</v>
      </c>
      <c r="V22" s="56" t="n">
        <v>10.5</v>
      </c>
      <c r="W22" s="56" t="n">
        <v>6.15</v>
      </c>
      <c r="X22" s="54" t="n">
        <v>16723</v>
      </c>
      <c r="Y22" s="10" t="n">
        <v>5.55</v>
      </c>
      <c r="Z22" s="12" t="n">
        <v>5.45</v>
      </c>
      <c r="AA22" s="14">
        <f>Z22*762.02</f>
        <v/>
      </c>
      <c r="AB22" s="13">
        <f>I22*10000*Z22</f>
        <v/>
      </c>
      <c r="AC22" s="7" t="inlineStr">
        <is>
          <t>5.20-6.50</t>
        </is>
      </c>
      <c r="AD22" s="7" t="inlineStr">
        <is>
          <t>85-100</t>
        </is>
      </c>
      <c r="AE22" s="20" t="n">
        <v>7.35</v>
      </c>
      <c r="AF22" s="22">
        <f>AE22*762.02</f>
        <v/>
      </c>
      <c r="AG22" s="21">
        <f>I22*10000*AE22</f>
        <v/>
      </c>
      <c r="AH22" s="21">
        <f>I22*10000*$C$3</f>
        <v/>
      </c>
      <c r="AI22" s="11">
        <f>I22*620</f>
        <v/>
      </c>
      <c r="AJ22" s="57">
        <f>I22*3000</f>
        <v/>
      </c>
      <c r="AK22" s="57">
        <f>AJ22*30</f>
        <v/>
      </c>
      <c r="AL22" s="58" t="n">
        <v>80</v>
      </c>
      <c r="AM22" s="59" t="n">
        <v>45.048215</v>
      </c>
      <c r="AN22" s="59" t="n">
        <v>9.824691</v>
      </c>
      <c r="AO22" s="60" t="inlineStr">
        <is>
          <t>Apri Google Maps</t>
        </is>
      </c>
      <c r="AP22" s="8" t="inlineStr">
        <is>
          <t>Linea AT 132 kV a ~55 m; Area produttiva a ~350 m: verificare la destinazione urbanistica; 5,2 ha oltre i 300 m</t>
        </is>
      </c>
      <c r="AQ22" s="47" t="n"/>
      <c r="AR22" s="61" t="n"/>
      <c r="AS22" s="62">
        <f>IF(AR22="","",AR22*762.02)</f>
        <v/>
      </c>
      <c r="AT22" s="7">
        <f>IF(AR22="","",IF(AR22&lt;=$C$3,"SÌ (ENTRO 8€/MQ)","NO (SOPRA SOGLIA -&gt; PROPORRE DDS)"))</f>
        <v/>
      </c>
    </row>
    <row r="23" ht="24" customHeight="1">
      <c r="A23" s="7" t="n">
        <v>18</v>
      </c>
      <c r="B23" s="32" t="inlineStr">
        <is>
          <t>PC-A21-018</t>
        </is>
      </c>
      <c r="C23" s="8" t="inlineStr">
        <is>
          <t>Estensione WMS AdE (Griglia Sfalsata)</t>
        </is>
      </c>
      <c r="D23" s="8" t="inlineStr">
        <is>
          <t>🔥 Priorità 1 · Top Taglia / Rete AT Vicina</t>
        </is>
      </c>
      <c r="E23" s="6" t="inlineStr">
        <is>
          <t>Monticelli d'Ongina</t>
        </is>
      </c>
      <c r="F23" s="7" t="inlineStr">
        <is>
          <t>F671</t>
        </is>
      </c>
      <c r="G23" s="7" t="n">
        <v>30</v>
      </c>
      <c r="H23" s="7" t="n">
        <v>34</v>
      </c>
      <c r="I23" s="52" t="n">
        <v>12.35</v>
      </c>
      <c r="J23" s="52" t="n">
        <v>7.25</v>
      </c>
      <c r="K23" s="53">
        <f>I23*13.1230</f>
        <v/>
      </c>
      <c r="L23" s="53">
        <f>J23*13.1230</f>
        <v/>
      </c>
      <c r="M23" s="7" t="inlineStr">
        <is>
          <t>A21</t>
        </is>
      </c>
      <c r="N23" s="54" t="n">
        <v>19</v>
      </c>
      <c r="O23" s="54" t="n">
        <v>329</v>
      </c>
      <c r="P23" s="7" t="n">
        <v>380</v>
      </c>
      <c r="Q23" s="8" t="inlineStr">
        <is>
          <t>Monticelli Ferrovia (132 kV)</t>
        </is>
      </c>
      <c r="R23" s="55" t="n">
        <v>0.6</v>
      </c>
      <c r="S23" s="8" t="inlineStr">
        <is>
          <t>CP Monticelli d'Ongina (AC001E01173)</t>
        </is>
      </c>
      <c r="T23" s="54" t="n">
        <v>780</v>
      </c>
      <c r="U23" s="11" t="n">
        <v>95700</v>
      </c>
      <c r="V23" s="56" t="n">
        <v>10.29</v>
      </c>
      <c r="W23" s="56" t="n">
        <v>6.04</v>
      </c>
      <c r="X23" s="54" t="n">
        <v>16389</v>
      </c>
      <c r="Y23" s="10" t="n">
        <v>5.5</v>
      </c>
      <c r="Z23" s="12" t="n">
        <v>5.35</v>
      </c>
      <c r="AA23" s="14">
        <f>Z23*762.02</f>
        <v/>
      </c>
      <c r="AB23" s="13">
        <f>I23*10000*Z23</f>
        <v/>
      </c>
      <c r="AC23" s="7" t="inlineStr">
        <is>
          <t>5.15-6.35</t>
        </is>
      </c>
      <c r="AD23" s="7" t="inlineStr">
        <is>
          <t>55-80</t>
        </is>
      </c>
      <c r="AE23" s="20" t="n">
        <v>7.25</v>
      </c>
      <c r="AF23" s="22">
        <f>AE23*762.02</f>
        <v/>
      </c>
      <c r="AG23" s="21">
        <f>I23*10000*AE23</f>
        <v/>
      </c>
      <c r="AH23" s="21">
        <f>I23*10000*$C$3</f>
        <v/>
      </c>
      <c r="AI23" s="11">
        <f>I23*610</f>
        <v/>
      </c>
      <c r="AJ23" s="57">
        <f>I23*3000</f>
        <v/>
      </c>
      <c r="AK23" s="57">
        <f>AJ23*30</f>
        <v/>
      </c>
      <c r="AL23" s="58" t="n">
        <v>97</v>
      </c>
      <c r="AM23" s="59" t="n">
        <v>45.061272</v>
      </c>
      <c r="AN23" s="59" t="n">
        <v>9.925846999999999</v>
      </c>
      <c r="AO23" s="60" t="inlineStr">
        <is>
          <t>Apri Google Maps</t>
        </is>
      </c>
      <c r="AP23" s="8" t="inlineStr">
        <is>
          <t>Stazione elettrica Monticelli Ferrovia a ~0,6 km; 5,1 ha oltre i 300 m</t>
        </is>
      </c>
      <c r="AQ23" s="47" t="n"/>
      <c r="AR23" s="61" t="n"/>
      <c r="AS23" s="62">
        <f>IF(AR23="","",AR23*762.02)</f>
        <v/>
      </c>
      <c r="AT23" s="7">
        <f>IF(AR23="","",IF(AR23&lt;=$C$3,"SÌ (ENTRO 8€/MQ)","NO (SOPRA SOGLIA -&gt; PROPORRE DDS)"))</f>
        <v/>
      </c>
    </row>
    <row r="24" ht="24" customHeight="1">
      <c r="A24" s="7" t="n">
        <v>19</v>
      </c>
      <c r="B24" s="32" t="inlineStr">
        <is>
          <t>PC-A21-019</t>
        </is>
      </c>
      <c r="C24" s="8" t="inlineStr">
        <is>
          <t>Top 50 Aperta Campagna</t>
        </is>
      </c>
      <c r="D24" s="8" t="inlineStr">
        <is>
          <t>🔥 Priorità 1 · Top Taglia / Rete AT Vicina</t>
        </is>
      </c>
      <c r="E24" s="6" t="inlineStr">
        <is>
          <t>Calendasco</t>
        </is>
      </c>
      <c r="F24" s="7" t="inlineStr">
        <is>
          <t>B405</t>
        </is>
      </c>
      <c r="G24" s="7" t="n">
        <v>31</v>
      </c>
      <c r="H24" s="7" t="n">
        <v>16</v>
      </c>
      <c r="I24" s="52" t="n">
        <v>8.699999999999999</v>
      </c>
      <c r="J24" s="52" t="n">
        <v>7.11</v>
      </c>
      <c r="K24" s="53">
        <f>I24*13.1230</f>
        <v/>
      </c>
      <c r="L24" s="53">
        <f>J24*13.1230</f>
        <v/>
      </c>
      <c r="M24" s="7" t="inlineStr">
        <is>
          <t>A21</t>
        </is>
      </c>
      <c r="N24" s="54" t="n">
        <v>9</v>
      </c>
      <c r="O24" s="54" t="n">
        <v>110</v>
      </c>
      <c r="P24" s="7" t="n">
        <v>132</v>
      </c>
      <c r="Q24" s="8" t="inlineStr">
        <is>
          <t>(senza nome) (132 kV)</t>
        </is>
      </c>
      <c r="R24" s="55" t="n">
        <v>1.1</v>
      </c>
      <c r="S24" s="8" t="inlineStr">
        <is>
          <t>CP Piacenza (AC001E01167)</t>
        </is>
      </c>
      <c r="T24" s="54" t="n">
        <v>1430</v>
      </c>
      <c r="U24" s="11" t="n">
        <v>137950</v>
      </c>
      <c r="V24" s="56" t="n">
        <v>7.25</v>
      </c>
      <c r="W24" s="56" t="n">
        <v>5.93</v>
      </c>
      <c r="X24" s="54" t="n">
        <v>11547</v>
      </c>
      <c r="Y24" s="10" t="n">
        <v>5.65</v>
      </c>
      <c r="Z24" s="12" t="n">
        <v>5.4</v>
      </c>
      <c r="AA24" s="14">
        <f>Z24*762.02</f>
        <v/>
      </c>
      <c r="AB24" s="13">
        <f>I24*10000*Z24</f>
        <v/>
      </c>
      <c r="AC24" s="7" t="inlineStr">
        <is>
          <t>5.20-6.40</t>
        </is>
      </c>
      <c r="AD24" s="7" t="inlineStr">
        <is>
          <t>65-90</t>
        </is>
      </c>
      <c r="AE24" s="20" t="n">
        <v>7.25</v>
      </c>
      <c r="AF24" s="22">
        <f>AE24*762.02</f>
        <v/>
      </c>
      <c r="AG24" s="21">
        <f>I24*10000*AE24</f>
        <v/>
      </c>
      <c r="AH24" s="21">
        <f>I24*10000*$C$3</f>
        <v/>
      </c>
      <c r="AI24" s="11">
        <f>I24*610</f>
        <v/>
      </c>
      <c r="AJ24" s="57">
        <f>I24*3000</f>
        <v/>
      </c>
      <c r="AK24" s="57">
        <f>AJ24*30</f>
        <v/>
      </c>
      <c r="AL24" s="58" t="n">
        <v>92.5</v>
      </c>
      <c r="AM24" s="59" t="n">
        <v>45.064574</v>
      </c>
      <c r="AN24" s="59" t="n">
        <v>9.621185000000001</v>
      </c>
      <c r="AO24" s="60" t="inlineStr">
        <is>
          <t>Apri Google Maps</t>
        </is>
      </c>
      <c r="AP24" s="8" t="inlineStr">
        <is>
          <t>Linea AT 132 kV a ~110 m; Stazione elettrica a ~1,1 km; 1,6 ha oltre i 300 m</t>
        </is>
      </c>
      <c r="AQ24" s="47" t="n"/>
      <c r="AR24" s="61" t="n"/>
      <c r="AS24" s="62">
        <f>IF(AR24="","",AR24*762.02)</f>
        <v/>
      </c>
      <c r="AT24" s="7">
        <f>IF(AR24="","",IF(AR24&lt;=$C$3,"SÌ (ENTRO 8€/MQ)","NO (SOPRA SOGLIA -&gt; PROPORRE DDS)"))</f>
        <v/>
      </c>
    </row>
    <row r="25" ht="24" customHeight="1">
      <c r="A25" s="7" t="n">
        <v>20</v>
      </c>
      <c r="B25" s="32" t="inlineStr">
        <is>
          <t>PC-A21-020</t>
        </is>
      </c>
      <c r="C25" s="8" t="inlineStr">
        <is>
          <t>Top 50 Aperta Campagna</t>
        </is>
      </c>
      <c r="D25" s="8" t="inlineStr">
        <is>
          <t>🔥 Priorità 1 · Top Taglia / Rete AT Vicina</t>
        </is>
      </c>
      <c r="E25" s="6" t="inlineStr">
        <is>
          <t>Castelvetro Piacentino</t>
        </is>
      </c>
      <c r="F25" s="7" t="inlineStr">
        <is>
          <t>C288</t>
        </is>
      </c>
      <c r="G25" s="7" t="n">
        <v>24</v>
      </c>
      <c r="H25" s="7" t="n">
        <v>22</v>
      </c>
      <c r="I25" s="52" t="n">
        <v>10.89</v>
      </c>
      <c r="J25" s="52" t="n">
        <v>6.96</v>
      </c>
      <c r="K25" s="53">
        <f>I25*13.1230</f>
        <v/>
      </c>
      <c r="L25" s="53">
        <f>J25*13.1230</f>
        <v/>
      </c>
      <c r="M25" s="7" t="inlineStr">
        <is>
          <t>A21</t>
        </is>
      </c>
      <c r="N25" s="54" t="n">
        <v>21</v>
      </c>
      <c r="O25" s="54" t="n">
        <v>630</v>
      </c>
      <c r="P25" s="7" t="n">
        <v>380</v>
      </c>
      <c r="Q25" s="8" t="inlineStr">
        <is>
          <t>Monticelli Ferrovia (132 kV)</t>
        </is>
      </c>
      <c r="R25" s="55" t="n">
        <v>3</v>
      </c>
      <c r="S25" s="8" t="inlineStr">
        <is>
          <t>CP Monticelli d'Ongina (AC001E01173)</t>
        </is>
      </c>
      <c r="T25" s="54" t="n">
        <v>3900</v>
      </c>
      <c r="U25" s="11" t="n">
        <v>298500</v>
      </c>
      <c r="V25" s="56" t="n">
        <v>9.08</v>
      </c>
      <c r="W25" s="56" t="n">
        <v>5.8</v>
      </c>
      <c r="X25" s="54" t="n">
        <v>14462</v>
      </c>
      <c r="Y25" s="10" t="n">
        <v>5.5</v>
      </c>
      <c r="Z25" s="12" t="n">
        <v>5.3</v>
      </c>
      <c r="AA25" s="14">
        <f>Z25*762.02</f>
        <v/>
      </c>
      <c r="AB25" s="13">
        <f>I25*10000*Z25</f>
        <v/>
      </c>
      <c r="AC25" s="7" t="inlineStr">
        <is>
          <t>5.10-6.30</t>
        </is>
      </c>
      <c r="AD25" s="7" t="inlineStr">
        <is>
          <t>60-85</t>
        </is>
      </c>
      <c r="AE25" s="20" t="n">
        <v>7.15</v>
      </c>
      <c r="AF25" s="22">
        <f>AE25*762.02</f>
        <v/>
      </c>
      <c r="AG25" s="21">
        <f>I25*10000*AE25</f>
        <v/>
      </c>
      <c r="AH25" s="21">
        <f>I25*10000*$C$3</f>
        <v/>
      </c>
      <c r="AI25" s="11">
        <f>I25*600</f>
        <v/>
      </c>
      <c r="AJ25" s="57">
        <f>I25*3000</f>
        <v/>
      </c>
      <c r="AK25" s="57">
        <f>AJ25*30</f>
        <v/>
      </c>
      <c r="AL25" s="58" t="n">
        <v>79.5</v>
      </c>
      <c r="AM25" s="59" t="n">
        <v>45.064243</v>
      </c>
      <c r="AN25" s="59" t="n">
        <v>9.956638999999999</v>
      </c>
      <c r="AO25" s="60" t="inlineStr">
        <is>
          <t>Apri Google Maps</t>
        </is>
      </c>
      <c r="AP25" s="8" t="inlineStr">
        <is>
          <t>3,9 ha oltre i 300 m</t>
        </is>
      </c>
      <c r="AQ25" s="47" t="n"/>
      <c r="AR25" s="61" t="n"/>
      <c r="AS25" s="62">
        <f>IF(AR25="","",AR25*762.02)</f>
        <v/>
      </c>
      <c r="AT25" s="7">
        <f>IF(AR25="","",IF(AR25&lt;=$C$3,"SÌ (ENTRO 8€/MQ)","NO (SOPRA SOGLIA -&gt; PROPORRE DDS)"))</f>
        <v/>
      </c>
    </row>
    <row r="26" ht="24" customHeight="1">
      <c r="A26" s="7" t="n">
        <v>21</v>
      </c>
      <c r="B26" s="32" t="inlineStr">
        <is>
          <t>PC-A21-021</t>
        </is>
      </c>
      <c r="C26" s="8" t="inlineStr">
        <is>
          <t>Top 50 Aperta Campagna</t>
        </is>
      </c>
      <c r="D26" s="8" t="inlineStr">
        <is>
          <t>🔥 Priorità 1 · Top Taglia / Rete AT Vicina</t>
        </is>
      </c>
      <c r="E26" s="6" t="inlineStr">
        <is>
          <t>San Pietro in Cerro</t>
        </is>
      </c>
      <c r="F26" s="7" t="inlineStr">
        <is>
          <t>G788</t>
        </is>
      </c>
      <c r="G26" s="7" t="n">
        <v>3</v>
      </c>
      <c r="H26" s="7" t="n">
        <v>2</v>
      </c>
      <c r="I26" s="52" t="n">
        <v>10.13</v>
      </c>
      <c r="J26" s="52" t="n">
        <v>6.81</v>
      </c>
      <c r="K26" s="53">
        <f>I26*13.1230</f>
        <v/>
      </c>
      <c r="L26" s="53">
        <f>J26*13.1230</f>
        <v/>
      </c>
      <c r="M26" s="7" t="inlineStr">
        <is>
          <t>A21</t>
        </is>
      </c>
      <c r="N26" s="54" t="n">
        <v>13</v>
      </c>
      <c r="O26" s="54" t="n">
        <v>108</v>
      </c>
      <c r="P26" s="7" t="n">
        <v>380</v>
      </c>
      <c r="Q26" s="8" t="inlineStr">
        <is>
          <t>Monticelli Ferrovia (132 kV)</t>
        </is>
      </c>
      <c r="R26" s="55" t="n">
        <v>1.1</v>
      </c>
      <c r="S26" s="8" t="inlineStr">
        <is>
          <t>CP Monticelli d'Ongina (AC001E01173)</t>
        </is>
      </c>
      <c r="T26" s="54" t="n">
        <v>1430</v>
      </c>
      <c r="U26" s="11" t="n">
        <v>137950</v>
      </c>
      <c r="V26" s="56" t="n">
        <v>8.44</v>
      </c>
      <c r="W26" s="56" t="n">
        <v>5.67</v>
      </c>
      <c r="X26" s="54" t="n">
        <v>13442</v>
      </c>
      <c r="Y26" s="10" t="n">
        <v>5.5</v>
      </c>
      <c r="Z26" s="12" t="n">
        <v>5.15</v>
      </c>
      <c r="AA26" s="14">
        <f>Z26*762.02</f>
        <v/>
      </c>
      <c r="AB26" s="13">
        <f>I26*10000*Z26</f>
        <v/>
      </c>
      <c r="AC26" s="7" t="inlineStr">
        <is>
          <t>4.90-6.10</t>
        </is>
      </c>
      <c r="AD26" s="7" t="inlineStr">
        <is>
          <t>50-70</t>
        </is>
      </c>
      <c r="AE26" s="20" t="n">
        <v>7.05</v>
      </c>
      <c r="AF26" s="22">
        <f>AE26*762.02</f>
        <v/>
      </c>
      <c r="AG26" s="21">
        <f>I26*10000*AE26</f>
        <v/>
      </c>
      <c r="AH26" s="21">
        <f>I26*10000*$C$3</f>
        <v/>
      </c>
      <c r="AI26" s="11">
        <f>I26*580</f>
        <v/>
      </c>
      <c r="AJ26" s="57">
        <f>I26*3000</f>
        <v/>
      </c>
      <c r="AK26" s="57">
        <f>AJ26*30</f>
        <v/>
      </c>
      <c r="AL26" s="58" t="n">
        <v>91</v>
      </c>
      <c r="AM26" s="59" t="n">
        <v>45.057063</v>
      </c>
      <c r="AN26" s="59" t="n">
        <v>9.931082</v>
      </c>
      <c r="AO26" s="60" t="inlineStr">
        <is>
          <t>Apri Google Maps</t>
        </is>
      </c>
      <c r="AP26" s="8" t="inlineStr">
        <is>
          <t>Linea AT 380 kV a ~108 m; Stazione elettrica Monticelli Ferrovia a ~1,1 km; 3,3 ha oltre i 300 m</t>
        </is>
      </c>
      <c r="AQ26" s="47" t="n"/>
      <c r="AR26" s="61" t="n"/>
      <c r="AS26" s="62">
        <f>IF(AR26="","",AR26*762.02)</f>
        <v/>
      </c>
      <c r="AT26" s="7">
        <f>IF(AR26="","",IF(AR26&lt;=$C$3,"SÌ (ENTRO 8€/MQ)","NO (SOPRA SOGLIA -&gt; PROPORRE DDS)"))</f>
        <v/>
      </c>
    </row>
    <row r="27" ht="24" customHeight="1">
      <c r="A27" s="7" t="n">
        <v>22</v>
      </c>
      <c r="B27" s="32" t="inlineStr">
        <is>
          <t>PC-A21-022</t>
        </is>
      </c>
      <c r="C27" s="8" t="inlineStr">
        <is>
          <t>Estensione WMS AdE (Griglia Sfalsata)</t>
        </is>
      </c>
      <c r="D27" s="8" t="inlineStr">
        <is>
          <t>🔥 Priorità 1 · Top Taglia / Rete AT Vicina</t>
        </is>
      </c>
      <c r="E27" s="6" t="inlineStr">
        <is>
          <t>Castelvetro Piacentino</t>
        </is>
      </c>
      <c r="F27" s="7" t="inlineStr">
        <is>
          <t>C288</t>
        </is>
      </c>
      <c r="G27" s="7" t="n">
        <v>21</v>
      </c>
      <c r="H27" s="7" t="n">
        <v>92</v>
      </c>
      <c r="I27" s="52" t="n">
        <v>8.470000000000001</v>
      </c>
      <c r="J27" s="52" t="n">
        <v>6.79</v>
      </c>
      <c r="K27" s="53">
        <f>I27*13.1230</f>
        <v/>
      </c>
      <c r="L27" s="53">
        <f>J27*13.1230</f>
        <v/>
      </c>
      <c r="M27" s="7" t="inlineStr">
        <is>
          <t>A21</t>
        </is>
      </c>
      <c r="N27" s="54" t="n">
        <v>21</v>
      </c>
      <c r="O27" s="54" t="n">
        <v>1654</v>
      </c>
      <c r="P27" s="7" t="n">
        <v>380</v>
      </c>
      <c r="Q27" s="8" t="inlineStr">
        <is>
          <t>Monticelli Ferrovia (132 kV)</t>
        </is>
      </c>
      <c r="R27" s="55" t="n">
        <v>4.3</v>
      </c>
      <c r="S27" s="8" t="inlineStr">
        <is>
          <t>CP Monticelli d'Ongina (AC001E01173)</t>
        </is>
      </c>
      <c r="T27" s="54" t="n">
        <v>5590</v>
      </c>
      <c r="U27" s="11" t="n">
        <v>408350</v>
      </c>
      <c r="V27" s="56" t="n">
        <v>7.06</v>
      </c>
      <c r="W27" s="56" t="n">
        <v>5.66</v>
      </c>
      <c r="X27" s="54" t="n">
        <v>11244</v>
      </c>
      <c r="Y27" s="10" t="n">
        <v>5.5</v>
      </c>
      <c r="Z27" s="12" t="n">
        <v>5.3</v>
      </c>
      <c r="AA27" s="14">
        <f>Z27*762.02</f>
        <v/>
      </c>
      <c r="AB27" s="13">
        <f>I27*10000*Z27</f>
        <v/>
      </c>
      <c r="AC27" s="7" t="inlineStr">
        <is>
          <t>5.10-6.30</t>
        </is>
      </c>
      <c r="AD27" s="7" t="inlineStr">
        <is>
          <t>60-85</t>
        </is>
      </c>
      <c r="AE27" s="20" t="n">
        <v>7.15</v>
      </c>
      <c r="AF27" s="22">
        <f>AE27*762.02</f>
        <v/>
      </c>
      <c r="AG27" s="21">
        <f>I27*10000*AE27</f>
        <v/>
      </c>
      <c r="AH27" s="21">
        <f>I27*10000*$C$3</f>
        <v/>
      </c>
      <c r="AI27" s="11">
        <f>I27*600</f>
        <v/>
      </c>
      <c r="AJ27" s="57">
        <f>I27*3000</f>
        <v/>
      </c>
      <c r="AK27" s="57">
        <f>AJ27*30</f>
        <v/>
      </c>
      <c r="AL27" s="58" t="n">
        <v>75</v>
      </c>
      <c r="AM27" s="59" t="n">
        <v>45.073734</v>
      </c>
      <c r="AN27" s="59" t="n">
        <v>9.970962999999999</v>
      </c>
      <c r="AO27" s="60" t="inlineStr">
        <is>
          <t>Apri Google Maps</t>
        </is>
      </c>
      <c r="AP27" s="8" t="inlineStr">
        <is>
          <t>1,7 ha oltre i 300 m</t>
        </is>
      </c>
      <c r="AQ27" s="47" t="n"/>
      <c r="AR27" s="61" t="n"/>
      <c r="AS27" s="62">
        <f>IF(AR27="","",AR27*762.02)</f>
        <v/>
      </c>
      <c r="AT27" s="7">
        <f>IF(AR27="","",IF(AR27&lt;=$C$3,"SÌ (ENTRO 8€/MQ)","NO (SOPRA SOGLIA -&gt; PROPORRE DDS)"))</f>
        <v/>
      </c>
    </row>
    <row r="28" ht="24" customHeight="1">
      <c r="A28" s="7" t="n">
        <v>23</v>
      </c>
      <c r="B28" s="32" t="inlineStr">
        <is>
          <t>PC-A21-023</t>
        </is>
      </c>
      <c r="C28" s="8" t="inlineStr">
        <is>
          <t>Top 50 Aperta Campagna</t>
        </is>
      </c>
      <c r="D28" s="8" t="inlineStr">
        <is>
          <t>🔥 Priorità 1 · Top Taglia / Rete AT Vicina</t>
        </is>
      </c>
      <c r="E28" s="6" t="inlineStr">
        <is>
          <t>San Pietro in Cerro</t>
        </is>
      </c>
      <c r="F28" s="7" t="inlineStr">
        <is>
          <t>G788</t>
        </is>
      </c>
      <c r="G28" s="7" t="n">
        <v>3</v>
      </c>
      <c r="H28" s="7" t="n">
        <v>1</v>
      </c>
      <c r="I28" s="52" t="n">
        <v>9.56</v>
      </c>
      <c r="J28" s="52" t="n">
        <v>6.61</v>
      </c>
      <c r="K28" s="53">
        <f>I28*13.1230</f>
        <v/>
      </c>
      <c r="L28" s="53">
        <f>J28*13.1230</f>
        <v/>
      </c>
      <c r="M28" s="7" t="inlineStr">
        <is>
          <t>A21</t>
        </is>
      </c>
      <c r="N28" s="54" t="n">
        <v>21</v>
      </c>
      <c r="O28" s="54" t="n">
        <v>369</v>
      </c>
      <c r="P28" s="7" t="n">
        <v>380</v>
      </c>
      <c r="Q28" s="8" t="inlineStr">
        <is>
          <t>Monticelli Ferrovia (132 kV)</t>
        </is>
      </c>
      <c r="R28" s="55" t="n">
        <v>0.9</v>
      </c>
      <c r="S28" s="8" t="inlineStr">
        <is>
          <t>CP Monticelli d'Ongina (AC001E01173)</t>
        </is>
      </c>
      <c r="T28" s="54" t="n">
        <v>1170</v>
      </c>
      <c r="U28" s="11" t="n">
        <v>121050</v>
      </c>
      <c r="V28" s="56" t="n">
        <v>7.97</v>
      </c>
      <c r="W28" s="56" t="n">
        <v>5.51</v>
      </c>
      <c r="X28" s="54" t="n">
        <v>12694</v>
      </c>
      <c r="Y28" s="10" t="n">
        <v>5.5</v>
      </c>
      <c r="Z28" s="12" t="n">
        <v>5.15</v>
      </c>
      <c r="AA28" s="14">
        <f>Z28*762.02</f>
        <v/>
      </c>
      <c r="AB28" s="13">
        <f>I28*10000*Z28</f>
        <v/>
      </c>
      <c r="AC28" s="7" t="inlineStr">
        <is>
          <t>4.90-6.10</t>
        </is>
      </c>
      <c r="AD28" s="7" t="inlineStr">
        <is>
          <t>50-70</t>
        </is>
      </c>
      <c r="AE28" s="20" t="n">
        <v>7.05</v>
      </c>
      <c r="AF28" s="22">
        <f>AE28*762.02</f>
        <v/>
      </c>
      <c r="AG28" s="21">
        <f>I28*10000*AE28</f>
        <v/>
      </c>
      <c r="AH28" s="21">
        <f>I28*10000*$C$3</f>
        <v/>
      </c>
      <c r="AI28" s="11">
        <f>I28*580</f>
        <v/>
      </c>
      <c r="AJ28" s="57">
        <f>I28*3000</f>
        <v/>
      </c>
      <c r="AK28" s="57">
        <f>AJ28*30</f>
        <v/>
      </c>
      <c r="AL28" s="58" t="n">
        <v>94.5</v>
      </c>
      <c r="AM28" s="59" t="n">
        <v>45.061431</v>
      </c>
      <c r="AN28" s="59" t="n">
        <v>9.929874999999999</v>
      </c>
      <c r="AO28" s="60" t="inlineStr">
        <is>
          <t>Apri Google Maps</t>
        </is>
      </c>
      <c r="AP28" s="8" t="inlineStr">
        <is>
          <t>Stazione elettrica Monticelli Ferrovia a ~0,9 km; 3,0 ha oltre i 300 m</t>
        </is>
      </c>
      <c r="AQ28" s="47" t="n"/>
      <c r="AR28" s="61" t="n"/>
      <c r="AS28" s="62">
        <f>IF(AR28="","",AR28*762.02)</f>
        <v/>
      </c>
      <c r="AT28" s="7">
        <f>IF(AR28="","",IF(AR28&lt;=$C$3,"SÌ (ENTRO 8€/MQ)","NO (SOPRA SOGLIA -&gt; PROPORRE DDS)"))</f>
        <v/>
      </c>
    </row>
    <row r="29" ht="24" customHeight="1">
      <c r="A29" s="7" t="n">
        <v>24</v>
      </c>
      <c r="B29" s="32" t="inlineStr">
        <is>
          <t>PC-A1-024</t>
        </is>
      </c>
      <c r="C29" s="8" t="inlineStr">
        <is>
          <t>Top 50 Aperta Campagna</t>
        </is>
      </c>
      <c r="D29" s="8" t="inlineStr">
        <is>
          <t>🔥 Priorità 1 · Top Taglia / Rete AT Vicina</t>
        </is>
      </c>
      <c r="E29" s="6" t="inlineStr">
        <is>
          <t>Cadeo</t>
        </is>
      </c>
      <c r="F29" s="7" t="inlineStr">
        <is>
          <t>B332</t>
        </is>
      </c>
      <c r="G29" s="7" t="n">
        <v>21</v>
      </c>
      <c r="H29" s="7" t="n">
        <v>6</v>
      </c>
      <c r="I29" s="52" t="n">
        <v>9.07</v>
      </c>
      <c r="J29" s="52" t="n">
        <v>6.49</v>
      </c>
      <c r="K29" s="53">
        <f>I29*13.1230</f>
        <v/>
      </c>
      <c r="L29" s="53">
        <f>J29*13.1230</f>
        <v/>
      </c>
      <c r="M29" s="7" t="inlineStr">
        <is>
          <t>A1</t>
        </is>
      </c>
      <c r="N29" s="54" t="n">
        <v>14</v>
      </c>
      <c r="O29" s="54" t="n">
        <v>422</v>
      </c>
      <c r="P29" s="7" t="n">
        <v>132</v>
      </c>
      <c r="Q29" s="8" t="inlineStr">
        <is>
          <t>Fiorenzuola AV (132 kV)</t>
        </is>
      </c>
      <c r="R29" s="55" t="n">
        <v>1.1</v>
      </c>
      <c r="S29" s="8" t="inlineStr">
        <is>
          <t>CP Fiorenzuola d'Arda (AC001E01230)</t>
        </is>
      </c>
      <c r="T29" s="54" t="n">
        <v>1430</v>
      </c>
      <c r="U29" s="11" t="n">
        <v>137950</v>
      </c>
      <c r="V29" s="56" t="n">
        <v>7.56</v>
      </c>
      <c r="W29" s="56" t="n">
        <v>5.41</v>
      </c>
      <c r="X29" s="54" t="n">
        <v>12041</v>
      </c>
      <c r="Y29" s="10" t="n">
        <v>5.45</v>
      </c>
      <c r="Z29" s="12" t="n">
        <v>5.75</v>
      </c>
      <c r="AA29" s="14">
        <f>Z29*762.02</f>
        <v/>
      </c>
      <c r="AB29" s="13">
        <f>I29*10000*Z29</f>
        <v/>
      </c>
      <c r="AC29" s="7" t="inlineStr">
        <is>
          <t>5.60-7.15</t>
        </is>
      </c>
      <c r="AD29" s="7" t="inlineStr">
        <is>
          <t>70-95</t>
        </is>
      </c>
      <c r="AE29" s="20" t="n">
        <v>7.2</v>
      </c>
      <c r="AF29" s="22">
        <f>AE29*762.02</f>
        <v/>
      </c>
      <c r="AG29" s="21">
        <f>I29*10000*AE29</f>
        <v/>
      </c>
      <c r="AH29" s="21">
        <f>I29*10000*$C$3</f>
        <v/>
      </c>
      <c r="AI29" s="11">
        <f>I29*640</f>
        <v/>
      </c>
      <c r="AJ29" s="57">
        <f>I29*3000</f>
        <v/>
      </c>
      <c r="AK29" s="57">
        <f>AJ29*30</f>
        <v/>
      </c>
      <c r="AL29" s="58" t="n">
        <v>90.5</v>
      </c>
      <c r="AM29" s="59" t="n">
        <v>44.972525</v>
      </c>
      <c r="AN29" s="59" t="n">
        <v>9.876535000000001</v>
      </c>
      <c r="AO29" s="60" t="inlineStr">
        <is>
          <t>Apri Google Maps</t>
        </is>
      </c>
      <c r="AP29" s="8" t="inlineStr">
        <is>
          <t>Stazione elettrica Fiorenzuola AV a ~1,1 km; 2,6 ha oltre i 300 m</t>
        </is>
      </c>
      <c r="AQ29" s="47" t="n"/>
      <c r="AR29" s="61" t="n"/>
      <c r="AS29" s="62">
        <f>IF(AR29="","",AR29*762.02)</f>
        <v/>
      </c>
      <c r="AT29" s="7">
        <f>IF(AR29="","",IF(AR29&lt;=$C$3,"SÌ (ENTRO 8€/MQ)","NO (SOPRA SOGLIA -&gt; PROPORRE DDS)"))</f>
        <v/>
      </c>
    </row>
    <row r="30" ht="24" customHeight="1">
      <c r="A30" s="7" t="n">
        <v>25</v>
      </c>
      <c r="B30" s="32" t="inlineStr">
        <is>
          <t>PC-A21-025</t>
        </is>
      </c>
      <c r="C30" s="8" t="inlineStr">
        <is>
          <t>Estensione WMS AdE (Griglia Sfalsata)</t>
        </is>
      </c>
      <c r="D30" s="8" t="inlineStr">
        <is>
          <t>🔥 Priorità 1 · Top Taglia / Rete AT Vicina</t>
        </is>
      </c>
      <c r="E30" s="6" t="inlineStr">
        <is>
          <t>Rottofreno</t>
        </is>
      </c>
      <c r="F30" s="7" t="inlineStr">
        <is>
          <t>H593</t>
        </is>
      </c>
      <c r="G30" s="7" t="n">
        <v>14</v>
      </c>
      <c r="H30" s="7" t="n">
        <v>107</v>
      </c>
      <c r="I30" s="52" t="n">
        <v>14.79</v>
      </c>
      <c r="J30" s="52" t="n">
        <v>6.48</v>
      </c>
      <c r="K30" s="53">
        <f>I30*13.1230</f>
        <v/>
      </c>
      <c r="L30" s="53">
        <f>J30*13.1230</f>
        <v/>
      </c>
      <c r="M30" s="7" t="inlineStr">
        <is>
          <t>A21</t>
        </is>
      </c>
      <c r="N30" s="54" t="n">
        <v>16</v>
      </c>
      <c r="O30" s="54" t="n">
        <v>1015</v>
      </c>
      <c r="P30" s="7" t="n">
        <v>132</v>
      </c>
      <c r="Q30" s="8" t="inlineStr">
        <is>
          <t>Rottofreno (132 kV)</t>
        </is>
      </c>
      <c r="R30" s="55" t="n">
        <v>1</v>
      </c>
      <c r="S30" s="8" t="inlineStr">
        <is>
          <t>CP Rottofreno (AC001E01165)</t>
        </is>
      </c>
      <c r="T30" s="54" t="n">
        <v>914</v>
      </c>
      <c r="U30" s="11" t="n">
        <v>104410</v>
      </c>
      <c r="V30" s="56" t="n">
        <v>12.32</v>
      </c>
      <c r="W30" s="56" t="n">
        <v>5.4</v>
      </c>
      <c r="X30" s="54" t="n">
        <v>19622</v>
      </c>
      <c r="Y30" s="10" t="n">
        <v>5.65</v>
      </c>
      <c r="Z30" s="12" t="n">
        <v>5.65</v>
      </c>
      <c r="AA30" s="14">
        <f>Z30*762.02</f>
        <v/>
      </c>
      <c r="AB30" s="13">
        <f>I30*10000*Z30</f>
        <v/>
      </c>
      <c r="AC30" s="7" t="inlineStr">
        <is>
          <t>5.40-6.80</t>
        </is>
      </c>
      <c r="AD30" s="7" t="inlineStr">
        <is>
          <t>75-105</t>
        </is>
      </c>
      <c r="AE30" s="20" t="n">
        <v>7.5</v>
      </c>
      <c r="AF30" s="22">
        <f>AE30*762.02</f>
        <v/>
      </c>
      <c r="AG30" s="21">
        <f>I30*10000*AE30</f>
        <v/>
      </c>
      <c r="AH30" s="21">
        <f>I30*10000*$C$3</f>
        <v/>
      </c>
      <c r="AI30" s="11">
        <f>I30*650</f>
        <v/>
      </c>
      <c r="AJ30" s="57">
        <f>I30*3000</f>
        <v/>
      </c>
      <c r="AK30" s="57">
        <f>AJ30*30</f>
        <v/>
      </c>
      <c r="AL30" s="58" t="n">
        <v>95</v>
      </c>
      <c r="AM30" s="59" t="n">
        <v>45.061742</v>
      </c>
      <c r="AN30" s="59" t="n">
        <v>9.571555999999999</v>
      </c>
      <c r="AO30" s="60" t="inlineStr">
        <is>
          <t>Apri Google Maps</t>
        </is>
      </c>
      <c r="AP30" s="8" t="inlineStr">
        <is>
          <t>Stazione elettrica Rottofreno a ~1,0 km; 8,3 ha oltre i 300 m</t>
        </is>
      </c>
      <c r="AQ30" s="47" t="n"/>
      <c r="AR30" s="61" t="n"/>
      <c r="AS30" s="62">
        <f>IF(AR30="","",AR30*762.02)</f>
        <v/>
      </c>
      <c r="AT30" s="7">
        <f>IF(AR30="","",IF(AR30&lt;=$C$3,"SÌ (ENTRO 8€/MQ)","NO (SOPRA SOGLIA -&gt; PROPORRE DDS)"))</f>
        <v/>
      </c>
    </row>
    <row r="31" ht="24" customHeight="1">
      <c r="A31" s="7" t="n">
        <v>26</v>
      </c>
      <c r="B31" s="32" t="inlineStr">
        <is>
          <t>PC-A21-026</t>
        </is>
      </c>
      <c r="C31" s="8" t="inlineStr">
        <is>
          <t>Top 50 Aperta Campagna</t>
        </is>
      </c>
      <c r="D31" s="8" t="inlineStr">
        <is>
          <t>🔥 Priorità 1 · Top Taglia / Rete AT Vicina</t>
        </is>
      </c>
      <c r="E31" s="6" t="inlineStr">
        <is>
          <t>Monticelli d'Ongina</t>
        </is>
      </c>
      <c r="F31" s="7" t="inlineStr">
        <is>
          <t>F671</t>
        </is>
      </c>
      <c r="G31" s="7" t="n">
        <v>32</v>
      </c>
      <c r="H31" s="7" t="n">
        <v>9</v>
      </c>
      <c r="I31" s="52" t="n">
        <v>9.19</v>
      </c>
      <c r="J31" s="52" t="n">
        <v>6.48</v>
      </c>
      <c r="K31" s="53">
        <f>I31*13.1230</f>
        <v/>
      </c>
      <c r="L31" s="53">
        <f>J31*13.1230</f>
        <v/>
      </c>
      <c r="M31" s="7" t="inlineStr">
        <is>
          <t>A21</t>
        </is>
      </c>
      <c r="N31" s="54" t="n">
        <v>65</v>
      </c>
      <c r="O31" s="54" t="n">
        <v>62</v>
      </c>
      <c r="P31" s="7" t="n">
        <v>380</v>
      </c>
      <c r="Q31" s="8" t="inlineStr">
        <is>
          <t>Monticelli Ferrovia (132 kV)</t>
        </is>
      </c>
      <c r="R31" s="55" t="n">
        <v>1.9</v>
      </c>
      <c r="S31" s="8" t="inlineStr">
        <is>
          <t>CP Monticelli d'Ongina (AC001E01173)</t>
        </is>
      </c>
      <c r="T31" s="54" t="n">
        <v>2470</v>
      </c>
      <c r="U31" s="11" t="n">
        <v>205550</v>
      </c>
      <c r="V31" s="56" t="n">
        <v>7.66</v>
      </c>
      <c r="W31" s="56" t="n">
        <v>5.4</v>
      </c>
      <c r="X31" s="54" t="n">
        <v>12200</v>
      </c>
      <c r="Y31" s="10" t="n">
        <v>5.5</v>
      </c>
      <c r="Z31" s="12" t="n">
        <v>5.35</v>
      </c>
      <c r="AA31" s="14">
        <f>Z31*762.02</f>
        <v/>
      </c>
      <c r="AB31" s="13">
        <f>I31*10000*Z31</f>
        <v/>
      </c>
      <c r="AC31" s="7" t="inlineStr">
        <is>
          <t>5.15-6.35</t>
        </is>
      </c>
      <c r="AD31" s="7" t="inlineStr">
        <is>
          <t>55-80</t>
        </is>
      </c>
      <c r="AE31" s="20" t="n">
        <v>7.25</v>
      </c>
      <c r="AF31" s="22">
        <f>AE31*762.02</f>
        <v/>
      </c>
      <c r="AG31" s="21">
        <f>I31*10000*AE31</f>
        <v/>
      </c>
      <c r="AH31" s="21">
        <f>I31*10000*$C$3</f>
        <v/>
      </c>
      <c r="AI31" s="11">
        <f>I31*610</f>
        <v/>
      </c>
      <c r="AJ31" s="57">
        <f>I31*3000</f>
        <v/>
      </c>
      <c r="AK31" s="57">
        <f>AJ31*30</f>
        <v/>
      </c>
      <c r="AL31" s="58" t="n">
        <v>86.5</v>
      </c>
      <c r="AM31" s="59" t="n">
        <v>45.058804</v>
      </c>
      <c r="AN31" s="59" t="n">
        <v>9.942527</v>
      </c>
      <c r="AO31" s="60" t="inlineStr">
        <is>
          <t>Apri Google Maps</t>
        </is>
      </c>
      <c r="AP31" s="8" t="inlineStr">
        <is>
          <t>Linea AT 380 kV a ~62 m; Area cantiere a ~348 m: verificare la destinazione urbanistica; 2,7 ha oltre i 300 m</t>
        </is>
      </c>
      <c r="AQ31" s="47" t="n"/>
      <c r="AR31" s="61" t="n"/>
      <c r="AS31" s="62">
        <f>IF(AR31="","",AR31*762.02)</f>
        <v/>
      </c>
      <c r="AT31" s="7">
        <f>IF(AR31="","",IF(AR31&lt;=$C$3,"SÌ (ENTRO 8€/MQ)","NO (SOPRA SOGLIA -&gt; PROPORRE DDS)"))</f>
        <v/>
      </c>
    </row>
    <row r="32" ht="24" customHeight="1">
      <c r="A32" s="7" t="n">
        <v>27</v>
      </c>
      <c r="B32" s="32" t="inlineStr">
        <is>
          <t>PC-A1-027</t>
        </is>
      </c>
      <c r="C32" s="8" t="inlineStr">
        <is>
          <t>Top 50 Aperta Campagna</t>
        </is>
      </c>
      <c r="D32" s="8" t="inlineStr">
        <is>
          <t>🔥 Priorità 1 · Top Taglia / Rete AT Vicina</t>
        </is>
      </c>
      <c r="E32" s="6" t="inlineStr">
        <is>
          <t>Piacenza</t>
        </is>
      </c>
      <c r="F32" s="7" t="inlineStr">
        <is>
          <t>G535</t>
        </is>
      </c>
      <c r="G32" s="7" t="n">
        <v>88</v>
      </c>
      <c r="H32" s="7" t="n">
        <v>42</v>
      </c>
      <c r="I32" s="52" t="n">
        <v>7.32</v>
      </c>
      <c r="J32" s="52" t="n">
        <v>6.38</v>
      </c>
      <c r="K32" s="53">
        <f>I32*13.1230</f>
        <v/>
      </c>
      <c r="L32" s="53">
        <f>J32*13.1230</f>
        <v/>
      </c>
      <c r="M32" s="7" t="inlineStr">
        <is>
          <t>A1</t>
        </is>
      </c>
      <c r="N32" s="54" t="n">
        <v>30</v>
      </c>
      <c r="O32" s="54" t="n">
        <v>360</v>
      </c>
      <c r="P32" s="7" t="n">
        <v>132</v>
      </c>
      <c r="Q32" s="8" t="inlineStr">
        <is>
          <t>(senza nome) (132 kV)</t>
        </is>
      </c>
      <c r="R32" s="55" t="n">
        <v>0.3</v>
      </c>
      <c r="S32" s="8" t="inlineStr">
        <is>
          <t>CP Pontenure (AC001E01166)</t>
        </is>
      </c>
      <c r="T32" s="54" t="n">
        <v>390</v>
      </c>
      <c r="U32" s="11" t="n">
        <v>70350</v>
      </c>
      <c r="V32" s="56" t="n">
        <v>6.1</v>
      </c>
      <c r="W32" s="56" t="n">
        <v>5.32</v>
      </c>
      <c r="X32" s="54" t="n">
        <v>9715</v>
      </c>
      <c r="Y32" s="10" t="n">
        <v>5.65</v>
      </c>
      <c r="Z32" s="12" t="n">
        <v>6.15</v>
      </c>
      <c r="AA32" s="14">
        <f>Z32*762.02</f>
        <v/>
      </c>
      <c r="AB32" s="13">
        <f>I32*10000*Z32</f>
        <v/>
      </c>
      <c r="AC32" s="7" t="inlineStr">
        <is>
          <t>6.00-7.60</t>
        </is>
      </c>
      <c r="AD32" s="7" t="inlineStr">
        <is>
          <t>80-140</t>
        </is>
      </c>
      <c r="AE32" s="20" t="n">
        <v>7.8</v>
      </c>
      <c r="AF32" s="22">
        <f>AE32*762.02</f>
        <v/>
      </c>
      <c r="AG32" s="21">
        <f>I32*10000*AE32</f>
        <v/>
      </c>
      <c r="AH32" s="21">
        <f>I32*10000*$C$3</f>
        <v/>
      </c>
      <c r="AI32" s="11">
        <f>I32*700</f>
        <v/>
      </c>
      <c r="AJ32" s="57">
        <f>I32*3000</f>
        <v/>
      </c>
      <c r="AK32" s="57">
        <f>AJ32*30</f>
        <v/>
      </c>
      <c r="AL32" s="58" t="n">
        <v>98.5</v>
      </c>
      <c r="AM32" s="59" t="n">
        <v>45.024712</v>
      </c>
      <c r="AN32" s="59" t="n">
        <v>9.771421999999999</v>
      </c>
      <c r="AO32" s="60" t="inlineStr">
        <is>
          <t>Apri Google Maps</t>
        </is>
      </c>
      <c r="AP32" s="8" t="inlineStr">
        <is>
          <t>Stazione elettrica a ~0,3 km; 0,9 ha oltre i 300 m</t>
        </is>
      </c>
      <c r="AQ32" s="47" t="n"/>
      <c r="AR32" s="61" t="n"/>
      <c r="AS32" s="62">
        <f>IF(AR32="","",AR32*762.02)</f>
        <v/>
      </c>
      <c r="AT32" s="7">
        <f>IF(AR32="","",IF(AR32&lt;=$C$3,"SÌ (ENTRO 8€/MQ)","NO (SOPRA SOGLIA -&gt; PROPORRE DDS)"))</f>
        <v/>
      </c>
    </row>
    <row r="33" ht="24" customHeight="1">
      <c r="A33" s="7" t="n">
        <v>28</v>
      </c>
      <c r="B33" s="32" t="inlineStr">
        <is>
          <t>PC-A1-028</t>
        </is>
      </c>
      <c r="C33" s="8" t="inlineStr">
        <is>
          <t>Top 50 Aperta Campagna</t>
        </is>
      </c>
      <c r="D33" s="8" t="inlineStr">
        <is>
          <t>🔥 Priorità 1 · Top Taglia / Rete AT Vicina</t>
        </is>
      </c>
      <c r="E33" s="6" t="inlineStr">
        <is>
          <t>Piacenza</t>
        </is>
      </c>
      <c r="F33" s="7" t="inlineStr">
        <is>
          <t>G535</t>
        </is>
      </c>
      <c r="G33" s="7" t="n">
        <v>14</v>
      </c>
      <c r="H33" s="7" t="n">
        <v>678</v>
      </c>
      <c r="I33" s="52" t="n">
        <v>6.18</v>
      </c>
      <c r="J33" s="52" t="n">
        <v>6.18</v>
      </c>
      <c r="K33" s="53">
        <f>I33*13.1230</f>
        <v/>
      </c>
      <c r="L33" s="53">
        <f>J33*13.1230</f>
        <v/>
      </c>
      <c r="M33" s="7" t="inlineStr">
        <is>
          <t>A1</t>
        </is>
      </c>
      <c r="N33" s="54" t="n">
        <v>11</v>
      </c>
      <c r="O33" s="54" t="n">
        <v>36</v>
      </c>
      <c r="P33" s="7" t="n">
        <v>132</v>
      </c>
      <c r="Q33" s="8" t="inlineStr">
        <is>
          <t>Tecnoborgo sezionamento (132 kV)</t>
        </is>
      </c>
      <c r="R33" s="55" t="n">
        <v>0.8</v>
      </c>
      <c r="S33" s="8" t="inlineStr">
        <is>
          <t>CP Piacenza (AC001E01168)</t>
        </is>
      </c>
      <c r="T33" s="54" t="n">
        <v>1040</v>
      </c>
      <c r="U33" s="11" t="n">
        <v>112600</v>
      </c>
      <c r="V33" s="56" t="n">
        <v>5.15</v>
      </c>
      <c r="W33" s="56" t="n">
        <v>5.15</v>
      </c>
      <c r="X33" s="54" t="n">
        <v>8202</v>
      </c>
      <c r="Y33" s="10" t="n">
        <v>5.65</v>
      </c>
      <c r="Z33" s="12" t="n">
        <v>6.15</v>
      </c>
      <c r="AA33" s="14">
        <f>Z33*762.02</f>
        <v/>
      </c>
      <c r="AB33" s="13">
        <f>I33*10000*Z33</f>
        <v/>
      </c>
      <c r="AC33" s="7" t="inlineStr">
        <is>
          <t>6.00-7.60</t>
        </is>
      </c>
      <c r="AD33" s="7" t="inlineStr">
        <is>
          <t>80-140</t>
        </is>
      </c>
      <c r="AE33" s="20" t="n">
        <v>7.8</v>
      </c>
      <c r="AF33" s="22">
        <f>AE33*762.02</f>
        <v/>
      </c>
      <c r="AG33" s="21">
        <f>I33*10000*AE33</f>
        <v/>
      </c>
      <c r="AH33" s="21">
        <f>I33*10000*$C$3</f>
        <v/>
      </c>
      <c r="AI33" s="11">
        <f>I33*700</f>
        <v/>
      </c>
      <c r="AJ33" s="57">
        <f>I33*3000</f>
        <v/>
      </c>
      <c r="AK33" s="57">
        <f>AJ33*30</f>
        <v/>
      </c>
      <c r="AL33" s="58" t="n">
        <v>94.5</v>
      </c>
      <c r="AM33" s="59" t="n">
        <v>45.059068</v>
      </c>
      <c r="AN33" s="59" t="n">
        <v>9.742343</v>
      </c>
      <c r="AO33" s="60" t="inlineStr">
        <is>
          <t>Apri Google Maps</t>
        </is>
      </c>
      <c r="AP33" s="8" t="inlineStr">
        <is>
          <t>Linea AT 132 kV sul fondo o al confine: condiziona il layout, ma la rete è vicina; Stazione elettrica Tecnoborgo sezionamento a ~0,8 km</t>
        </is>
      </c>
      <c r="AQ33" s="47" t="n"/>
      <c r="AR33" s="61" t="n"/>
      <c r="AS33" s="62">
        <f>IF(AR33="","",AR33*762.02)</f>
        <v/>
      </c>
      <c r="AT33" s="7">
        <f>IF(AR33="","",IF(AR33&lt;=$C$3,"SÌ (ENTRO 8€/MQ)","NO (SOPRA SOGLIA -&gt; PROPORRE DDS)"))</f>
        <v/>
      </c>
    </row>
    <row r="34" ht="24" customHeight="1">
      <c r="A34" s="7" t="n">
        <v>29</v>
      </c>
      <c r="B34" s="32" t="inlineStr">
        <is>
          <t>PC-A21-029</t>
        </is>
      </c>
      <c r="C34" s="8" t="inlineStr">
        <is>
          <t>Top 50 Aperta Campagna</t>
        </is>
      </c>
      <c r="D34" s="8" t="inlineStr">
        <is>
          <t>🔥 Priorità 1 · Top Taglia / Rete AT Vicina</t>
        </is>
      </c>
      <c r="E34" s="6" t="inlineStr">
        <is>
          <t>Calendasco</t>
        </is>
      </c>
      <c r="F34" s="7" t="inlineStr">
        <is>
          <t>B405</t>
        </is>
      </c>
      <c r="G34" s="7" t="n">
        <v>31</v>
      </c>
      <c r="H34" s="7" t="n">
        <v>473</v>
      </c>
      <c r="I34" s="52" t="n">
        <v>6.73</v>
      </c>
      <c r="J34" s="52" t="n">
        <v>6.16</v>
      </c>
      <c r="K34" s="53">
        <f>I34*13.1230</f>
        <v/>
      </c>
      <c r="L34" s="53">
        <f>J34*13.1230</f>
        <v/>
      </c>
      <c r="M34" s="7" t="inlineStr">
        <is>
          <t>A21</t>
        </is>
      </c>
      <c r="N34" s="54" t="n">
        <v>16</v>
      </c>
      <c r="O34" s="54" t="n">
        <v>243</v>
      </c>
      <c r="P34" s="7" t="n">
        <v>132</v>
      </c>
      <c r="Q34" s="8" t="inlineStr">
        <is>
          <t>(senza nome) (132 kV)</t>
        </is>
      </c>
      <c r="R34" s="55" t="n">
        <v>1.2</v>
      </c>
      <c r="S34" s="8" t="inlineStr">
        <is>
          <t>CP Piacenza (AC001E01167)</t>
        </is>
      </c>
      <c r="T34" s="54" t="n">
        <v>1560</v>
      </c>
      <c r="U34" s="11" t="n">
        <v>146400</v>
      </c>
      <c r="V34" s="56" t="n">
        <v>5.61</v>
      </c>
      <c r="W34" s="56" t="n">
        <v>5.13</v>
      </c>
      <c r="X34" s="54" t="n">
        <v>8935</v>
      </c>
      <c r="Y34" s="10" t="n">
        <v>5.65</v>
      </c>
      <c r="Z34" s="12" t="n">
        <v>5.4</v>
      </c>
      <c r="AA34" s="14">
        <f>Z34*762.02</f>
        <v/>
      </c>
      <c r="AB34" s="13">
        <f>I34*10000*Z34</f>
        <v/>
      </c>
      <c r="AC34" s="7" t="inlineStr">
        <is>
          <t>5.20-6.40</t>
        </is>
      </c>
      <c r="AD34" s="7" t="inlineStr">
        <is>
          <t>65-90</t>
        </is>
      </c>
      <c r="AE34" s="20" t="n">
        <v>7.25</v>
      </c>
      <c r="AF34" s="22">
        <f>AE34*762.02</f>
        <v/>
      </c>
      <c r="AG34" s="21">
        <f>I34*10000*AE34</f>
        <v/>
      </c>
      <c r="AH34" s="21">
        <f>I34*10000*$C$3</f>
        <v/>
      </c>
      <c r="AI34" s="11">
        <f>I34*610</f>
        <v/>
      </c>
      <c r="AJ34" s="57">
        <f>I34*3000</f>
        <v/>
      </c>
      <c r="AK34" s="57">
        <f>AJ34*30</f>
        <v/>
      </c>
      <c r="AL34" s="58" t="n">
        <v>90.5</v>
      </c>
      <c r="AM34" s="59" t="n">
        <v>45.0614</v>
      </c>
      <c r="AN34" s="59" t="n">
        <v>9.616052</v>
      </c>
      <c r="AO34" s="60" t="inlineStr">
        <is>
          <t>Apri Google Maps</t>
        </is>
      </c>
      <c r="AP34" s="8" t="inlineStr">
        <is>
          <t>Linea AT 132 kV a ~243 m; Stazione elettrica a ~1,2 km; Area produttiva a ~340 m: verificare la destinazione urbanistica; 0,6 ha oltre i 300 m</t>
        </is>
      </c>
      <c r="AQ34" s="47" t="n"/>
      <c r="AR34" s="61" t="n"/>
      <c r="AS34" s="62">
        <f>IF(AR34="","",AR34*762.02)</f>
        <v/>
      </c>
      <c r="AT34" s="7">
        <f>IF(AR34="","",IF(AR34&lt;=$C$3,"SÌ (ENTRO 8€/MQ)","NO (SOPRA SOGLIA -&gt; PROPORRE DDS)"))</f>
        <v/>
      </c>
    </row>
    <row r="35" ht="24" customHeight="1">
      <c r="A35" s="7" t="n">
        <v>30</v>
      </c>
      <c r="B35" s="32" t="inlineStr">
        <is>
          <t>PC-A1-030</t>
        </is>
      </c>
      <c r="C35" s="8" t="inlineStr">
        <is>
          <t>Estensione WMS AdE (Griglia Sfalsata)</t>
        </is>
      </c>
      <c r="D35" s="8" t="inlineStr">
        <is>
          <t>🔥 Priorità 1 · Top Taglia / Rete AT Vicina</t>
        </is>
      </c>
      <c r="E35" s="6" t="inlineStr">
        <is>
          <t>Cadeo</t>
        </is>
      </c>
      <c r="F35" s="7" t="inlineStr">
        <is>
          <t>B332</t>
        </is>
      </c>
      <c r="G35" s="7" t="n">
        <v>19</v>
      </c>
      <c r="H35" s="7" t="n">
        <v>173</v>
      </c>
      <c r="I35" s="52" t="n">
        <v>6.16</v>
      </c>
      <c r="J35" s="52" t="n">
        <v>6.16</v>
      </c>
      <c r="K35" s="53">
        <f>I35*13.1230</f>
        <v/>
      </c>
      <c r="L35" s="53">
        <f>J35*13.1230</f>
        <v/>
      </c>
      <c r="M35" s="7" t="inlineStr">
        <is>
          <t>A1</t>
        </is>
      </c>
      <c r="N35" s="54" t="n">
        <v>71</v>
      </c>
      <c r="O35" s="54" t="n">
        <v>43</v>
      </c>
      <c r="P35" s="7" t="n">
        <v>132</v>
      </c>
      <c r="Q35" s="8" t="inlineStr">
        <is>
          <t>Fiorenzuola AV (132 kV)</t>
        </is>
      </c>
      <c r="R35" s="55" t="n">
        <v>1.8</v>
      </c>
      <c r="S35" s="8" t="inlineStr">
        <is>
          <t>CP Cortemaggiore (AC001E01172)</t>
        </is>
      </c>
      <c r="T35" s="54" t="n">
        <v>2340</v>
      </c>
      <c r="U35" s="11" t="n">
        <v>197100</v>
      </c>
      <c r="V35" s="56" t="n">
        <v>5.13</v>
      </c>
      <c r="W35" s="56" t="n">
        <v>5.13</v>
      </c>
      <c r="X35" s="54" t="n">
        <v>8171</v>
      </c>
      <c r="Y35" s="10" t="n">
        <v>5.45</v>
      </c>
      <c r="Z35" s="12" t="n">
        <v>5.75</v>
      </c>
      <c r="AA35" s="14">
        <f>Z35*762.02</f>
        <v/>
      </c>
      <c r="AB35" s="13">
        <f>I35*10000*Z35</f>
        <v/>
      </c>
      <c r="AC35" s="7" t="inlineStr">
        <is>
          <t>5.60-7.15</t>
        </is>
      </c>
      <c r="AD35" s="7" t="inlineStr">
        <is>
          <t>70-95</t>
        </is>
      </c>
      <c r="AE35" s="20" t="n">
        <v>7.2</v>
      </c>
      <c r="AF35" s="22">
        <f>AE35*762.02</f>
        <v/>
      </c>
      <c r="AG35" s="21">
        <f>I35*10000*AE35</f>
        <v/>
      </c>
      <c r="AH35" s="21">
        <f>I35*10000*$C$3</f>
        <v/>
      </c>
      <c r="AI35" s="11">
        <f>I35*640</f>
        <v/>
      </c>
      <c r="AJ35" s="57">
        <f>I35*3000</f>
        <v/>
      </c>
      <c r="AK35" s="57">
        <f>AJ35*30</f>
        <v/>
      </c>
      <c r="AL35" s="58" t="n">
        <v>86.5</v>
      </c>
      <c r="AM35" s="59" t="n">
        <v>44.979218</v>
      </c>
      <c r="AN35" s="59" t="n">
        <v>9.870918</v>
      </c>
      <c r="AO35" s="60" t="inlineStr">
        <is>
          <t>Apri Google Maps</t>
        </is>
      </c>
      <c r="AP35" s="8" t="inlineStr">
        <is>
          <t>Linea AT 132 kV a ~43 m; Stazione elettrica Fiorenzuola AV a ~1,8 km</t>
        </is>
      </c>
      <c r="AQ35" s="47" t="n"/>
      <c r="AR35" s="61" t="n"/>
      <c r="AS35" s="62">
        <f>IF(AR35="","",AR35*762.02)</f>
        <v/>
      </c>
      <c r="AT35" s="7">
        <f>IF(AR35="","",IF(AR35&lt;=$C$3,"SÌ (ENTRO 8€/MQ)","NO (SOPRA SOGLIA -&gt; PROPORRE DDS)"))</f>
        <v/>
      </c>
    </row>
    <row r="36" ht="24" customHeight="1">
      <c r="A36" s="7" t="n">
        <v>31</v>
      </c>
      <c r="B36" s="32" t="inlineStr">
        <is>
          <t>PC-A1-031</t>
        </is>
      </c>
      <c r="C36" s="8" t="inlineStr">
        <is>
          <t>Top 50 Aperta Campagna</t>
        </is>
      </c>
      <c r="D36" s="8" t="inlineStr">
        <is>
          <t>🔥 Priorità 1 · Top Taglia / Rete AT Vicina</t>
        </is>
      </c>
      <c r="E36" s="6" t="inlineStr">
        <is>
          <t>Cadeo</t>
        </is>
      </c>
      <c r="F36" s="7" t="inlineStr">
        <is>
          <t>B332</t>
        </is>
      </c>
      <c r="G36" s="7" t="n">
        <v>21</v>
      </c>
      <c r="H36" s="7" t="n">
        <v>719</v>
      </c>
      <c r="I36" s="52" t="n">
        <v>6.12</v>
      </c>
      <c r="J36" s="52" t="n">
        <v>6.12</v>
      </c>
      <c r="K36" s="53">
        <f>I36*13.1230</f>
        <v/>
      </c>
      <c r="L36" s="53">
        <f>J36*13.1230</f>
        <v/>
      </c>
      <c r="M36" s="7" t="inlineStr">
        <is>
          <t>A1</t>
        </is>
      </c>
      <c r="N36" s="54" t="n">
        <v>13</v>
      </c>
      <c r="O36" s="54" t="n">
        <v>148</v>
      </c>
      <c r="P36" s="7" t="n">
        <v>132</v>
      </c>
      <c r="Q36" s="8" t="inlineStr">
        <is>
          <t>Fiorenzuola AV (132 kV)</t>
        </is>
      </c>
      <c r="R36" s="55" t="n">
        <v>0.6</v>
      </c>
      <c r="S36" s="8" t="inlineStr">
        <is>
          <t>CP Fiorenzuola d'Arda (AC001E01230)</t>
        </is>
      </c>
      <c r="T36" s="54" t="n">
        <v>780</v>
      </c>
      <c r="U36" s="11" t="n">
        <v>95700</v>
      </c>
      <c r="V36" s="56" t="n">
        <v>5.1</v>
      </c>
      <c r="W36" s="56" t="n">
        <v>5.1</v>
      </c>
      <c r="X36" s="54" t="n">
        <v>8123</v>
      </c>
      <c r="Y36" s="10" t="n">
        <v>5.45</v>
      </c>
      <c r="Z36" s="12" t="n">
        <v>5.75</v>
      </c>
      <c r="AA36" s="14">
        <f>Z36*762.02</f>
        <v/>
      </c>
      <c r="AB36" s="13">
        <f>I36*10000*Z36</f>
        <v/>
      </c>
      <c r="AC36" s="7" t="inlineStr">
        <is>
          <t>5.60-7.15</t>
        </is>
      </c>
      <c r="AD36" s="7" t="inlineStr">
        <is>
          <t>70-95</t>
        </is>
      </c>
      <c r="AE36" s="20" t="n">
        <v>7.2</v>
      </c>
      <c r="AF36" s="22">
        <f>AE36*762.02</f>
        <v/>
      </c>
      <c r="AG36" s="21">
        <f>I36*10000*AE36</f>
        <v/>
      </c>
      <c r="AH36" s="21">
        <f>I36*10000*$C$3</f>
        <v/>
      </c>
      <c r="AI36" s="11">
        <f>I36*640</f>
        <v/>
      </c>
      <c r="AJ36" s="57">
        <f>I36*3000</f>
        <v/>
      </c>
      <c r="AK36" s="57">
        <f>AJ36*30</f>
        <v/>
      </c>
      <c r="AL36" s="58" t="n">
        <v>94.5</v>
      </c>
      <c r="AM36" s="59" t="n">
        <v>44.973085</v>
      </c>
      <c r="AN36" s="59" t="n">
        <v>9.883343999999999</v>
      </c>
      <c r="AO36" s="60" t="inlineStr">
        <is>
          <t>Apri Google Maps</t>
        </is>
      </c>
      <c r="AP36" s="8" t="inlineStr">
        <is>
          <t>Linea AT 132 kV a ~148 m; Stazione elettrica Fiorenzuola AV a ~0,6 km</t>
        </is>
      </c>
      <c r="AQ36" s="47" t="n"/>
      <c r="AR36" s="61" t="n"/>
      <c r="AS36" s="62">
        <f>IF(AR36="","",AR36*762.02)</f>
        <v/>
      </c>
      <c r="AT36" s="7">
        <f>IF(AR36="","",IF(AR36&lt;=$C$3,"SÌ (ENTRO 8€/MQ)","NO (SOPRA SOGLIA -&gt; PROPORRE DDS)"))</f>
        <v/>
      </c>
    </row>
    <row r="37" ht="24" customHeight="1">
      <c r="A37" s="7" t="n">
        <v>32</v>
      </c>
      <c r="B37" s="32" t="inlineStr">
        <is>
          <t>PC-A21-032</t>
        </is>
      </c>
      <c r="C37" s="8" t="inlineStr">
        <is>
          <t>Top 50 Aperta Campagna</t>
        </is>
      </c>
      <c r="D37" s="8" t="inlineStr">
        <is>
          <t>🔥 Priorità 1 · Top Taglia / Rete AT Vicina</t>
        </is>
      </c>
      <c r="E37" s="6" t="inlineStr">
        <is>
          <t>Caorso</t>
        </is>
      </c>
      <c r="F37" s="7" t="inlineStr">
        <is>
          <t>B643</t>
        </is>
      </c>
      <c r="G37" s="7" t="n">
        <v>23</v>
      </c>
      <c r="H37" s="7" t="n">
        <v>20</v>
      </c>
      <c r="I37" s="52" t="n">
        <v>6.81</v>
      </c>
      <c r="J37" s="52" t="n">
        <v>6.1</v>
      </c>
      <c r="K37" s="53">
        <f>I37*13.1230</f>
        <v/>
      </c>
      <c r="L37" s="53">
        <f>J37*13.1230</f>
        <v/>
      </c>
      <c r="M37" s="7" t="inlineStr">
        <is>
          <t>A21</t>
        </is>
      </c>
      <c r="N37" s="54" t="n">
        <v>16</v>
      </c>
      <c r="O37" s="54" t="n">
        <v>599</v>
      </c>
      <c r="P37" s="7" t="n">
        <v>380</v>
      </c>
      <c r="Q37" s="8" t="inlineStr">
        <is>
          <t>Monticelli FS (132 kV)</t>
        </is>
      </c>
      <c r="R37" s="55" t="n">
        <v>1.8</v>
      </c>
      <c r="S37" s="8" t="inlineStr">
        <is>
          <t>CP Monticelli d'Ongina (AC001E01173)</t>
        </is>
      </c>
      <c r="T37" s="54" t="n">
        <v>2340</v>
      </c>
      <c r="U37" s="11" t="n">
        <v>197100</v>
      </c>
      <c r="V37" s="56" t="n">
        <v>5.67</v>
      </c>
      <c r="W37" s="56" t="n">
        <v>5.08</v>
      </c>
      <c r="X37" s="54" t="n">
        <v>9031</v>
      </c>
      <c r="Y37" s="10" t="n">
        <v>5.55</v>
      </c>
      <c r="Z37" s="12" t="n">
        <v>5.45</v>
      </c>
      <c r="AA37" s="14">
        <f>Z37*762.02</f>
        <v/>
      </c>
      <c r="AB37" s="13">
        <f>I37*10000*Z37</f>
        <v/>
      </c>
      <c r="AC37" s="7" t="inlineStr">
        <is>
          <t>5.20-6.50</t>
        </is>
      </c>
      <c r="AD37" s="7" t="inlineStr">
        <is>
          <t>85-100</t>
        </is>
      </c>
      <c r="AE37" s="20" t="n">
        <v>7.35</v>
      </c>
      <c r="AF37" s="22">
        <f>AE37*762.02</f>
        <v/>
      </c>
      <c r="AG37" s="21">
        <f>I37*10000*AE37</f>
        <v/>
      </c>
      <c r="AH37" s="21">
        <f>I37*10000*$C$3</f>
        <v/>
      </c>
      <c r="AI37" s="11">
        <f>I37*620</f>
        <v/>
      </c>
      <c r="AJ37" s="57">
        <f>I37*3000</f>
        <v/>
      </c>
      <c r="AK37" s="57">
        <f>AJ37*30</f>
        <v/>
      </c>
      <c r="AL37" s="58" t="n">
        <v>84</v>
      </c>
      <c r="AM37" s="59" t="n">
        <v>45.055931</v>
      </c>
      <c r="AN37" s="59" t="n">
        <v>9.89555</v>
      </c>
      <c r="AO37" s="60" t="inlineStr">
        <is>
          <t>Apri Google Maps</t>
        </is>
      </c>
      <c r="AP37" s="8" t="inlineStr">
        <is>
          <t>Area commerciale a ~258 m: verificare la destinazione urbanistica; 0,7 ha oltre i 300 m</t>
        </is>
      </c>
      <c r="AQ37" s="47" t="n"/>
      <c r="AR37" s="61" t="n"/>
      <c r="AS37" s="62">
        <f>IF(AR37="","",AR37*762.02)</f>
        <v/>
      </c>
      <c r="AT37" s="7">
        <f>IF(AR37="","",IF(AR37&lt;=$C$3,"SÌ (ENTRO 8€/MQ)","NO (SOPRA SOGLIA -&gt; PROPORRE DDS)"))</f>
        <v/>
      </c>
    </row>
    <row r="38" ht="24" customHeight="1">
      <c r="A38" s="7" t="n">
        <v>33</v>
      </c>
      <c r="B38" s="32" t="inlineStr">
        <is>
          <t>PC-A1-033</t>
        </is>
      </c>
      <c r="C38" s="8" t="inlineStr">
        <is>
          <t>Benchmark Test A1 (Pontenure-Cadeo)</t>
        </is>
      </c>
      <c r="D38" s="8" t="inlineStr">
        <is>
          <t>🔥 Priorità 1 · Top Taglia / Rete AT Vicina</t>
        </is>
      </c>
      <c r="E38" s="6" t="inlineStr">
        <is>
          <t>Pontenure</t>
        </is>
      </c>
      <c r="F38" s="7" t="inlineStr">
        <is>
          <t>G852</t>
        </is>
      </c>
      <c r="G38" s="7" t="n">
        <v>14</v>
      </c>
      <c r="H38" s="7" t="n">
        <v>134</v>
      </c>
      <c r="I38" s="52" t="n">
        <v>6.3</v>
      </c>
      <c r="J38" s="52" t="n">
        <v>6.1</v>
      </c>
      <c r="K38" s="53">
        <f>I38*13.1230</f>
        <v/>
      </c>
      <c r="L38" s="53">
        <f>J38*13.1230</f>
        <v/>
      </c>
      <c r="M38" s="7" t="inlineStr">
        <is>
          <t>A1</t>
        </is>
      </c>
      <c r="N38" s="54" t="n">
        <v>38</v>
      </c>
      <c r="O38" s="54" t="n">
        <v>95</v>
      </c>
      <c r="P38" s="7" t="n">
        <v>132</v>
      </c>
      <c r="Q38" s="8" t="inlineStr">
        <is>
          <t>Cadeo FS (132 kV)</t>
        </is>
      </c>
      <c r="R38" s="55" t="n">
        <v>3.8</v>
      </c>
      <c r="S38" s="8" t="inlineStr">
        <is>
          <t>CP Pontenure 132/15 kV</t>
        </is>
      </c>
      <c r="T38" s="54" t="n">
        <v>4940</v>
      </c>
      <c r="U38" s="11" t="n">
        <v>366100</v>
      </c>
      <c r="V38" s="56" t="n">
        <v>5.25</v>
      </c>
      <c r="W38" s="56" t="n">
        <v>5.08</v>
      </c>
      <c r="X38" s="54" t="n">
        <v>8362</v>
      </c>
      <c r="Y38" s="10" t="n">
        <v>5.85</v>
      </c>
      <c r="Z38" s="12" t="n">
        <v>6.1</v>
      </c>
      <c r="AA38" s="14">
        <f>Z38*762.02</f>
        <v/>
      </c>
      <c r="AB38" s="13">
        <f>I38*10000*Z38</f>
        <v/>
      </c>
      <c r="AC38" s="7" t="inlineStr">
        <is>
          <t>6.00-7.35</t>
        </is>
      </c>
      <c r="AD38" s="7" t="inlineStr">
        <is>
          <t>85-110</t>
        </is>
      </c>
      <c r="AE38" s="20" t="n">
        <v>7.65</v>
      </c>
      <c r="AF38" s="22">
        <f>AE38*762.02</f>
        <v/>
      </c>
      <c r="AG38" s="21">
        <f>I38*10000*AE38</f>
        <v/>
      </c>
      <c r="AH38" s="21">
        <f>I38*10000*$C$3</f>
        <v/>
      </c>
      <c r="AI38" s="11">
        <f>I38*680</f>
        <v/>
      </c>
      <c r="AJ38" s="57">
        <f>I38*3000</f>
        <v/>
      </c>
      <c r="AK38" s="57">
        <f>AJ38*30</f>
        <v/>
      </c>
      <c r="AL38" s="58" t="n">
        <v>77.5</v>
      </c>
      <c r="AM38" s="59" t="n">
        <v>44.9965</v>
      </c>
      <c r="AN38" s="59" t="n">
        <v>9.821</v>
      </c>
      <c r="AO38" s="60" t="inlineStr">
        <is>
          <t>Apri Google Maps</t>
        </is>
      </c>
      <c r="AP38" s="8" t="inlineStr">
        <is>
          <t>Lotto 3 Benchmark Test A1 (contigua a Part. 21, totale compendio 10,5 ha); verificato WMS AdE</t>
        </is>
      </c>
      <c r="AQ38" s="47" t="n"/>
      <c r="AR38" s="61" t="n"/>
      <c r="AS38" s="62">
        <f>IF(AR38="","",AR38*762.02)</f>
        <v/>
      </c>
      <c r="AT38" s="7">
        <f>IF(AR38="","",IF(AR38&lt;=$C$3,"SÌ (ENTRO 8€/MQ)","NO (SOPRA SOGLIA -&gt; PROPORRE DDS)"))</f>
        <v/>
      </c>
    </row>
    <row r="39" ht="24" customHeight="1">
      <c r="A39" s="7" t="n">
        <v>34</v>
      </c>
      <c r="B39" s="32" t="inlineStr">
        <is>
          <t>PC-A21-034</t>
        </is>
      </c>
      <c r="C39" s="8" t="inlineStr">
        <is>
          <t>Top 50 Aperta Campagna</t>
        </is>
      </c>
      <c r="D39" s="8" t="inlineStr">
        <is>
          <t>🔥 Priorità 1 · Top Taglia / Rete AT Vicina</t>
        </is>
      </c>
      <c r="E39" s="6" t="inlineStr">
        <is>
          <t>Castelvetro Piacentino</t>
        </is>
      </c>
      <c r="F39" s="7" t="inlineStr">
        <is>
          <t>C288</t>
        </is>
      </c>
      <c r="G39" s="7" t="n">
        <v>21</v>
      </c>
      <c r="H39" s="7" t="n">
        <v>108</v>
      </c>
      <c r="I39" s="52" t="n">
        <v>6.07</v>
      </c>
      <c r="J39" s="52" t="n">
        <v>6.07</v>
      </c>
      <c r="K39" s="53">
        <f>I39*13.1230</f>
        <v/>
      </c>
      <c r="L39" s="53">
        <f>J39*13.1230</f>
        <v/>
      </c>
      <c r="M39" s="7" t="inlineStr">
        <is>
          <t>A21</t>
        </is>
      </c>
      <c r="N39" s="54" t="n">
        <v>17</v>
      </c>
      <c r="O39" s="54" t="n">
        <v>1334</v>
      </c>
      <c r="P39" s="7" t="n">
        <v>380</v>
      </c>
      <c r="Q39" s="8" t="inlineStr">
        <is>
          <t>Monticelli Ferrovia (132 kV)</t>
        </is>
      </c>
      <c r="R39" s="55" t="n">
        <v>3.8</v>
      </c>
      <c r="S39" s="8" t="inlineStr">
        <is>
          <t>CP Monticelli d'Ongina (AC001E01173)</t>
        </is>
      </c>
      <c r="T39" s="54" t="n">
        <v>4940</v>
      </c>
      <c r="U39" s="11" t="n">
        <v>366100</v>
      </c>
      <c r="V39" s="56" t="n">
        <v>5.06</v>
      </c>
      <c r="W39" s="56" t="n">
        <v>5.06</v>
      </c>
      <c r="X39" s="54" t="n">
        <v>8059</v>
      </c>
      <c r="Y39" s="10" t="n">
        <v>5.5</v>
      </c>
      <c r="Z39" s="12" t="n">
        <v>5.3</v>
      </c>
      <c r="AA39" s="14">
        <f>Z39*762.02</f>
        <v/>
      </c>
      <c r="AB39" s="13">
        <f>I39*10000*Z39</f>
        <v/>
      </c>
      <c r="AC39" s="7" t="inlineStr">
        <is>
          <t>5.10-6.30</t>
        </is>
      </c>
      <c r="AD39" s="7" t="inlineStr">
        <is>
          <t>60-85</t>
        </is>
      </c>
      <c r="AE39" s="20" t="n">
        <v>7.15</v>
      </c>
      <c r="AF39" s="22">
        <f>AE39*762.02</f>
        <v/>
      </c>
      <c r="AG39" s="21">
        <f>I39*10000*AE39</f>
        <v/>
      </c>
      <c r="AH39" s="21">
        <f>I39*10000*$C$3</f>
        <v/>
      </c>
      <c r="AI39" s="11">
        <f>I39*600</f>
        <v/>
      </c>
      <c r="AJ39" s="57">
        <f>I39*3000</f>
        <v/>
      </c>
      <c r="AK39" s="57">
        <f>AJ39*30</f>
        <v/>
      </c>
      <c r="AL39" s="58" t="n">
        <v>75</v>
      </c>
      <c r="AM39" s="59" t="n">
        <v>45.070816</v>
      </c>
      <c r="AN39" s="59" t="n">
        <v>9.965073</v>
      </c>
      <c r="AO39" s="60" t="inlineStr">
        <is>
          <t>Apri Google Maps</t>
        </is>
      </c>
      <c r="AP39" s="8" t="inlineStr">
        <is>
          <t>Seminativo aperto in fascia autostradale ≤300m D.Lgs. 199/2021</t>
        </is>
      </c>
      <c r="AQ39" s="47" t="n"/>
      <c r="AR39" s="61" t="n"/>
      <c r="AS39" s="62">
        <f>IF(AR39="","",AR39*762.02)</f>
        <v/>
      </c>
      <c r="AT39" s="7">
        <f>IF(AR39="","",IF(AR39&lt;=$C$3,"SÌ (ENTRO 8€/MQ)","NO (SOPRA SOGLIA -&gt; PROPORRE DDS)"))</f>
        <v/>
      </c>
    </row>
    <row r="40" ht="24" customHeight="1">
      <c r="A40" s="7" t="n">
        <v>35</v>
      </c>
      <c r="B40" s="32" t="inlineStr">
        <is>
          <t>PC-A21-035</t>
        </is>
      </c>
      <c r="C40" s="8" t="inlineStr">
        <is>
          <t>Top 50 Aperta Campagna</t>
        </is>
      </c>
      <c r="D40" s="8" t="inlineStr">
        <is>
          <t>🔥 Priorità 1 · Top Taglia / Rete AT Vicina</t>
        </is>
      </c>
      <c r="E40" s="6" t="inlineStr">
        <is>
          <t>Monticelli d'Ongina</t>
        </is>
      </c>
      <c r="F40" s="7" t="inlineStr">
        <is>
          <t>F671</t>
        </is>
      </c>
      <c r="G40" s="7" t="n">
        <v>30</v>
      </c>
      <c r="H40" s="7" t="n">
        <v>33</v>
      </c>
      <c r="I40" s="52" t="n">
        <v>6.07</v>
      </c>
      <c r="J40" s="52" t="n">
        <v>6.07</v>
      </c>
      <c r="K40" s="53">
        <f>I40*13.1230</f>
        <v/>
      </c>
      <c r="L40" s="53">
        <f>J40*13.1230</f>
        <v/>
      </c>
      <c r="M40" s="7" t="inlineStr">
        <is>
          <t>A21</t>
        </is>
      </c>
      <c r="N40" s="54" t="n">
        <v>24</v>
      </c>
      <c r="O40" s="54" t="n">
        <v>160</v>
      </c>
      <c r="P40" s="7" t="n">
        <v>380</v>
      </c>
      <c r="Q40" s="8" t="inlineStr">
        <is>
          <t>Monticelli Ferrovia (132 kV)</t>
        </is>
      </c>
      <c r="R40" s="55" t="n">
        <v>0.4</v>
      </c>
      <c r="S40" s="8" t="inlineStr">
        <is>
          <t>CP Monticelli d'Ongina (AC001E01173)</t>
        </is>
      </c>
      <c r="T40" s="54" t="n">
        <v>520</v>
      </c>
      <c r="U40" s="11" t="n">
        <v>78800</v>
      </c>
      <c r="V40" s="56" t="n">
        <v>5.06</v>
      </c>
      <c r="W40" s="56" t="n">
        <v>5.06</v>
      </c>
      <c r="X40" s="54" t="n">
        <v>8059</v>
      </c>
      <c r="Y40" s="10" t="n">
        <v>5.5</v>
      </c>
      <c r="Z40" s="12" t="n">
        <v>5.35</v>
      </c>
      <c r="AA40" s="14">
        <f>Z40*762.02</f>
        <v/>
      </c>
      <c r="AB40" s="13">
        <f>I40*10000*Z40</f>
        <v/>
      </c>
      <c r="AC40" s="7" t="inlineStr">
        <is>
          <t>5.15-6.35</t>
        </is>
      </c>
      <c r="AD40" s="7" t="inlineStr">
        <is>
          <t>55-80</t>
        </is>
      </c>
      <c r="AE40" s="20" t="n">
        <v>7.25</v>
      </c>
      <c r="AF40" s="22">
        <f>AE40*762.02</f>
        <v/>
      </c>
      <c r="AG40" s="21">
        <f>I40*10000*AE40</f>
        <v/>
      </c>
      <c r="AH40" s="21">
        <f>I40*10000*$C$3</f>
        <v/>
      </c>
      <c r="AI40" s="11">
        <f>I40*610</f>
        <v/>
      </c>
      <c r="AJ40" s="57">
        <f>I40*3000</f>
        <v/>
      </c>
      <c r="AK40" s="57">
        <f>AJ40*30</f>
        <v/>
      </c>
      <c r="AL40" s="58" t="n">
        <v>98.5</v>
      </c>
      <c r="AM40" s="59" t="n">
        <v>45.059985</v>
      </c>
      <c r="AN40" s="59" t="n">
        <v>9.923683</v>
      </c>
      <c r="AO40" s="60" t="inlineStr">
        <is>
          <t>Apri Google Maps</t>
        </is>
      </c>
      <c r="AP40" s="8" t="inlineStr">
        <is>
          <t>Linea AT 380 kV a ~160 m; Stazione elettrica Monticelli Ferrovia a ~0,4 km</t>
        </is>
      </c>
      <c r="AQ40" s="47" t="n"/>
      <c r="AR40" s="61" t="n"/>
      <c r="AS40" s="62">
        <f>IF(AR40="","",AR40*762.02)</f>
        <v/>
      </c>
      <c r="AT40" s="7">
        <f>IF(AR40="","",IF(AR40&lt;=$C$3,"SÌ (ENTRO 8€/MQ)","NO (SOPRA SOGLIA -&gt; PROPORRE DDS)"))</f>
        <v/>
      </c>
    </row>
    <row r="41" ht="24" customHeight="1">
      <c r="A41" s="7" t="n">
        <v>36</v>
      </c>
      <c r="B41" s="32" t="inlineStr">
        <is>
          <t>PC-A21-036</t>
        </is>
      </c>
      <c r="C41" s="8" t="inlineStr">
        <is>
          <t>Top 50 Aperta Campagna</t>
        </is>
      </c>
      <c r="D41" s="8" t="inlineStr">
        <is>
          <t>🔥 Priorità 1 · Top Taglia / Rete AT Vicina</t>
        </is>
      </c>
      <c r="E41" s="6" t="inlineStr">
        <is>
          <t>Caorso</t>
        </is>
      </c>
      <c r="F41" s="7" t="inlineStr">
        <is>
          <t>B643</t>
        </is>
      </c>
      <c r="G41" s="7" t="n">
        <v>19</v>
      </c>
      <c r="H41" s="7" t="n">
        <v>29</v>
      </c>
      <c r="I41" s="52" t="n">
        <v>6.29</v>
      </c>
      <c r="J41" s="52" t="n">
        <v>6.04</v>
      </c>
      <c r="K41" s="53">
        <f>I41*13.1230</f>
        <v/>
      </c>
      <c r="L41" s="53">
        <f>J41*13.1230</f>
        <v/>
      </c>
      <c r="M41" s="7" t="inlineStr">
        <is>
          <t>A21</t>
        </is>
      </c>
      <c r="N41" s="54" t="n">
        <v>16</v>
      </c>
      <c r="O41" s="54" t="n">
        <v>1073</v>
      </c>
      <c r="P41" s="7" t="n">
        <v>132</v>
      </c>
      <c r="Q41" s="8" t="inlineStr">
        <is>
          <t>Caorso (380 kV)</t>
        </is>
      </c>
      <c r="R41" s="55" t="n">
        <v>3.1</v>
      </c>
      <c r="S41" s="8" t="inlineStr">
        <is>
          <t>CP Monticelli d'Ongina (AC001E01173)</t>
        </is>
      </c>
      <c r="T41" s="54" t="n">
        <v>4030</v>
      </c>
      <c r="U41" s="11" t="n">
        <v>306950</v>
      </c>
      <c r="V41" s="56" t="n">
        <v>5.24</v>
      </c>
      <c r="W41" s="56" t="n">
        <v>5.03</v>
      </c>
      <c r="X41" s="54" t="n">
        <v>8346</v>
      </c>
      <c r="Y41" s="10" t="n">
        <v>5.55</v>
      </c>
      <c r="Z41" s="12" t="n">
        <v>5.45</v>
      </c>
      <c r="AA41" s="14">
        <f>Z41*762.02</f>
        <v/>
      </c>
      <c r="AB41" s="13">
        <f>I41*10000*Z41</f>
        <v/>
      </c>
      <c r="AC41" s="7" t="inlineStr">
        <is>
          <t>5.20-6.50</t>
        </is>
      </c>
      <c r="AD41" s="7" t="inlineStr">
        <is>
          <t>85-100</t>
        </is>
      </c>
      <c r="AE41" s="20" t="n">
        <v>7.35</v>
      </c>
      <c r="AF41" s="22">
        <f>AE41*762.02</f>
        <v/>
      </c>
      <c r="AG41" s="21">
        <f>I41*10000*AE41</f>
        <v/>
      </c>
      <c r="AH41" s="21">
        <f>I41*10000*$C$3</f>
        <v/>
      </c>
      <c r="AI41" s="11">
        <f>I41*620</f>
        <v/>
      </c>
      <c r="AJ41" s="57">
        <f>I41*3000</f>
        <v/>
      </c>
      <c r="AK41" s="57">
        <f>AJ41*30</f>
        <v/>
      </c>
      <c r="AL41" s="58" t="n">
        <v>79</v>
      </c>
      <c r="AM41" s="59" t="n">
        <v>45.047742</v>
      </c>
      <c r="AN41" s="59" t="n">
        <v>9.845050000000001</v>
      </c>
      <c r="AO41" s="60" t="inlineStr">
        <is>
          <t>Apri Google Maps</t>
        </is>
      </c>
      <c r="AP41" s="8" t="inlineStr">
        <is>
          <t>Seminativo aperto in fascia autostradale ≤300m D.Lgs. 199/2021</t>
        </is>
      </c>
      <c r="AQ41" s="47" t="n"/>
      <c r="AR41" s="61" t="n"/>
      <c r="AS41" s="62">
        <f>IF(AR41="","",AR41*762.02)</f>
        <v/>
      </c>
      <c r="AT41" s="7">
        <f>IF(AR41="","",IF(AR41&lt;=$C$3,"SÌ (ENTRO 8€/MQ)","NO (SOPRA SOGLIA -&gt; PROPORRE DDS)"))</f>
        <v/>
      </c>
    </row>
    <row r="42" ht="24" customHeight="1">
      <c r="A42" s="7" t="n">
        <v>37</v>
      </c>
      <c r="B42" s="32" t="inlineStr">
        <is>
          <t>PC-A21-037</t>
        </is>
      </c>
      <c r="C42" s="8" t="inlineStr">
        <is>
          <t>Top 50 Aperta Campagna</t>
        </is>
      </c>
      <c r="D42" s="8" t="inlineStr">
        <is>
          <t>✅ Priorità 2 · Aperta Campagna Qualificata</t>
        </is>
      </c>
      <c r="E42" s="6" t="inlineStr">
        <is>
          <t>Caorso</t>
        </is>
      </c>
      <c r="F42" s="7" t="inlineStr">
        <is>
          <t>B643</t>
        </is>
      </c>
      <c r="G42" s="7" t="n">
        <v>18</v>
      </c>
      <c r="H42" s="7" t="n">
        <v>40</v>
      </c>
      <c r="I42" s="52" t="n">
        <v>8.529999999999999</v>
      </c>
      <c r="J42" s="52" t="n">
        <v>5.97</v>
      </c>
      <c r="K42" s="53">
        <f>I42*13.1230</f>
        <v/>
      </c>
      <c r="L42" s="53">
        <f>J42*13.1230</f>
        <v/>
      </c>
      <c r="M42" s="7" t="inlineStr">
        <is>
          <t>A21</t>
        </is>
      </c>
      <c r="N42" s="54" t="n">
        <v>14</v>
      </c>
      <c r="O42" s="54" t="n">
        <v>562</v>
      </c>
      <c r="P42" s="7" t="n">
        <v>132</v>
      </c>
      <c r="Q42" s="8" t="inlineStr">
        <is>
          <t>Caorso (380 kV)</t>
        </is>
      </c>
      <c r="R42" s="55" t="n">
        <v>3.7</v>
      </c>
      <c r="S42" s="8" t="inlineStr">
        <is>
          <t>CP Pontenure (AC001E01166)</t>
        </is>
      </c>
      <c r="T42" s="54" t="n">
        <v>4810</v>
      </c>
      <c r="U42" s="11" t="n">
        <v>357650</v>
      </c>
      <c r="V42" s="56" t="n">
        <v>7.11</v>
      </c>
      <c r="W42" s="56" t="n">
        <v>4.97</v>
      </c>
      <c r="X42" s="54" t="n">
        <v>11324</v>
      </c>
      <c r="Y42" s="10" t="n">
        <v>5.55</v>
      </c>
      <c r="Z42" s="12" t="n">
        <v>5.45</v>
      </c>
      <c r="AA42" s="14">
        <f>Z42*762.02</f>
        <v/>
      </c>
      <c r="AB42" s="13">
        <f>I42*10000*Z42</f>
        <v/>
      </c>
      <c r="AC42" s="7" t="inlineStr">
        <is>
          <t>5.20-6.50</t>
        </is>
      </c>
      <c r="AD42" s="7" t="inlineStr">
        <is>
          <t>85-100</t>
        </is>
      </c>
      <c r="AE42" s="20" t="n">
        <v>7.35</v>
      </c>
      <c r="AF42" s="22">
        <f>AE42*762.02</f>
        <v/>
      </c>
      <c r="AG42" s="21">
        <f>I42*10000*AE42</f>
        <v/>
      </c>
      <c r="AH42" s="21">
        <f>I42*10000*$C$3</f>
        <v/>
      </c>
      <c r="AI42" s="11">
        <f>I42*620</f>
        <v/>
      </c>
      <c r="AJ42" s="57">
        <f>I42*3000</f>
        <v/>
      </c>
      <c r="AK42" s="57">
        <f>AJ42*30</f>
        <v/>
      </c>
      <c r="AL42" s="58" t="n">
        <v>75</v>
      </c>
      <c r="AM42" s="59" t="n">
        <v>45.047697</v>
      </c>
      <c r="AN42" s="59" t="n">
        <v>9.834911999999999</v>
      </c>
      <c r="AO42" s="60" t="inlineStr">
        <is>
          <t>Apri Google Maps</t>
        </is>
      </c>
      <c r="AP42" s="8" t="inlineStr">
        <is>
          <t>2,6 ha oltre i 300 m</t>
        </is>
      </c>
      <c r="AQ42" s="47" t="n"/>
      <c r="AR42" s="61" t="n"/>
      <c r="AS42" s="62">
        <f>IF(AR42="","",AR42*762.02)</f>
        <v/>
      </c>
      <c r="AT42" s="7">
        <f>IF(AR42="","",IF(AR42&lt;=$C$3,"SÌ (ENTRO 8€/MQ)","NO (SOPRA SOGLIA -&gt; PROPORRE DDS)"))</f>
        <v/>
      </c>
    </row>
    <row r="43" ht="24" customHeight="1">
      <c r="A43" s="7" t="n">
        <v>38</v>
      </c>
      <c r="B43" s="32" t="inlineStr">
        <is>
          <t>PC-A1-038</t>
        </is>
      </c>
      <c r="C43" s="8" t="inlineStr">
        <is>
          <t>Estensione WMS AdE (Griglia Sfalsata)</t>
        </is>
      </c>
      <c r="D43" s="8" t="inlineStr">
        <is>
          <t>✅ Priorità 2 · Aperta Campagna Qualificata</t>
        </is>
      </c>
      <c r="E43" s="6" t="inlineStr">
        <is>
          <t>Alseno</t>
        </is>
      </c>
      <c r="F43" s="7" t="inlineStr">
        <is>
          <t>A223</t>
        </is>
      </c>
      <c r="G43" s="7" t="n">
        <v>2</v>
      </c>
      <c r="H43" s="7" t="n">
        <v>198</v>
      </c>
      <c r="I43" s="52" t="n">
        <v>6.68</v>
      </c>
      <c r="J43" s="52" t="n">
        <v>5.96</v>
      </c>
      <c r="K43" s="53">
        <f>I43*13.1230</f>
        <v/>
      </c>
      <c r="L43" s="53">
        <f>J43*13.1230</f>
        <v/>
      </c>
      <c r="M43" s="7" t="inlineStr">
        <is>
          <t>A1</t>
        </is>
      </c>
      <c r="N43" s="54" t="n">
        <v>91</v>
      </c>
      <c r="O43" s="54" t="n">
        <v>199</v>
      </c>
      <c r="P43" s="7" t="n">
        <v>132</v>
      </c>
      <c r="Q43" s="8" t="inlineStr">
        <is>
          <t>(senza nome) (132 kV)</t>
        </is>
      </c>
      <c r="R43" s="55" t="n">
        <v>4</v>
      </c>
      <c r="S43" s="8" t="inlineStr">
        <is>
          <t>CP Fiorenzuola d'Arda (AC001E01230)</t>
        </is>
      </c>
      <c r="T43" s="54" t="n">
        <v>5200</v>
      </c>
      <c r="U43" s="11" t="n">
        <v>383000</v>
      </c>
      <c r="V43" s="56" t="n">
        <v>5.57</v>
      </c>
      <c r="W43" s="56" t="n">
        <v>4.97</v>
      </c>
      <c r="X43" s="54" t="n">
        <v>8871</v>
      </c>
      <c r="Y43" s="10" t="n">
        <v>5.45</v>
      </c>
      <c r="Z43" s="12" t="n">
        <v>5.05</v>
      </c>
      <c r="AA43" s="14">
        <f>Z43*762.02</f>
        <v/>
      </c>
      <c r="AB43" s="13">
        <f>I43*10000*Z43</f>
        <v/>
      </c>
      <c r="AC43" s="7" t="inlineStr">
        <is>
          <t>4.80-5.95</t>
        </is>
      </c>
      <c r="AD43" s="7" t="inlineStr">
        <is>
          <t>55-75</t>
        </is>
      </c>
      <c r="AE43" s="20" t="n">
        <v>6.85</v>
      </c>
      <c r="AF43" s="22">
        <f>AE43*762.02</f>
        <v/>
      </c>
      <c r="AG43" s="21">
        <f>I43*10000*AE43</f>
        <v/>
      </c>
      <c r="AH43" s="21">
        <f>I43*10000*$C$3</f>
        <v/>
      </c>
      <c r="AI43" s="11">
        <f>I43*570</f>
        <v/>
      </c>
      <c r="AJ43" s="57">
        <f>I43*3000</f>
        <v/>
      </c>
      <c r="AK43" s="57">
        <f>AJ43*30</f>
        <v/>
      </c>
      <c r="AL43" s="58" t="n">
        <v>75</v>
      </c>
      <c r="AM43" s="59" t="n">
        <v>44.938398</v>
      </c>
      <c r="AN43" s="59" t="n">
        <v>9.967053999999999</v>
      </c>
      <c r="AO43" s="60" t="inlineStr">
        <is>
          <t>Apri Google Maps</t>
        </is>
      </c>
      <c r="AP43" s="8" t="inlineStr">
        <is>
          <t>Linea AT 132 kV a ~199 m; 0,7 ha oltre i 300 m</t>
        </is>
      </c>
      <c r="AQ43" s="47" t="n"/>
      <c r="AR43" s="61" t="n"/>
      <c r="AS43" s="62">
        <f>IF(AR43="","",AR43*762.02)</f>
        <v/>
      </c>
      <c r="AT43" s="7">
        <f>IF(AR43="","",IF(AR43&lt;=$C$3,"SÌ (ENTRO 8€/MQ)","NO (SOPRA SOGLIA -&gt; PROPORRE DDS)"))</f>
        <v/>
      </c>
    </row>
    <row r="44" ht="24" customHeight="1">
      <c r="A44" s="7" t="n">
        <v>39</v>
      </c>
      <c r="B44" s="32" t="inlineStr">
        <is>
          <t>PC-A1-039</t>
        </is>
      </c>
      <c r="C44" s="8" t="inlineStr">
        <is>
          <t>Estensione WMS AdE (Griglia Sfalsata)</t>
        </is>
      </c>
      <c r="D44" s="8" t="inlineStr">
        <is>
          <t>✅ Priorità 2 · Aperta Campagna Qualificata</t>
        </is>
      </c>
      <c r="E44" s="6" t="inlineStr">
        <is>
          <t>Cadeo</t>
        </is>
      </c>
      <c r="F44" s="7" t="inlineStr">
        <is>
          <t>B332</t>
        </is>
      </c>
      <c r="G44" s="7" t="n">
        <v>18</v>
      </c>
      <c r="H44" s="7" t="n">
        <v>71</v>
      </c>
      <c r="I44" s="52" t="n">
        <v>6.89</v>
      </c>
      <c r="J44" s="52" t="n">
        <v>5.93</v>
      </c>
      <c r="K44" s="53">
        <f>I44*13.1230</f>
        <v/>
      </c>
      <c r="L44" s="53">
        <f>J44*13.1230</f>
        <v/>
      </c>
      <c r="M44" s="7" t="inlineStr">
        <is>
          <t>A1</t>
        </is>
      </c>
      <c r="N44" s="54" t="n">
        <v>16</v>
      </c>
      <c r="O44" s="54" t="n">
        <v>297</v>
      </c>
      <c r="P44" s="7" t="n">
        <v>380</v>
      </c>
      <c r="Q44" s="8" t="inlineStr">
        <is>
          <t>Cadeo FS (132 kV)</t>
        </is>
      </c>
      <c r="R44" s="55" t="n">
        <v>1.6</v>
      </c>
      <c r="S44" s="8" t="inlineStr">
        <is>
          <t>CP Cortemaggiore (AC001E01172)</t>
        </is>
      </c>
      <c r="T44" s="54" t="n">
        <v>2080</v>
      </c>
      <c r="U44" s="11" t="n">
        <v>180200</v>
      </c>
      <c r="V44" s="56" t="n">
        <v>5.74</v>
      </c>
      <c r="W44" s="56" t="n">
        <v>4.94</v>
      </c>
      <c r="X44" s="54" t="n">
        <v>9142</v>
      </c>
      <c r="Y44" s="10" t="n">
        <v>5.45</v>
      </c>
      <c r="Z44" s="12" t="n">
        <v>5.75</v>
      </c>
      <c r="AA44" s="14">
        <f>Z44*762.02</f>
        <v/>
      </c>
      <c r="AB44" s="13">
        <f>I44*10000*Z44</f>
        <v/>
      </c>
      <c r="AC44" s="7" t="inlineStr">
        <is>
          <t>5.60-7.15</t>
        </is>
      </c>
      <c r="AD44" s="7" t="inlineStr">
        <is>
          <t>70-95</t>
        </is>
      </c>
      <c r="AE44" s="20" t="n">
        <v>7.2</v>
      </c>
      <c r="AF44" s="22">
        <f>AE44*762.02</f>
        <v/>
      </c>
      <c r="AG44" s="21">
        <f>I44*10000*AE44</f>
        <v/>
      </c>
      <c r="AH44" s="21">
        <f>I44*10000*$C$3</f>
        <v/>
      </c>
      <c r="AI44" s="11">
        <f>I44*640</f>
        <v/>
      </c>
      <c r="AJ44" s="57">
        <f>I44*3000</f>
        <v/>
      </c>
      <c r="AK44" s="57">
        <f>AJ44*30</f>
        <v/>
      </c>
      <c r="AL44" s="58" t="n">
        <v>84</v>
      </c>
      <c r="AM44" s="59" t="n">
        <v>44.976968</v>
      </c>
      <c r="AN44" s="59" t="n">
        <v>9.866965</v>
      </c>
      <c r="AO44" s="60" t="inlineStr">
        <is>
          <t>Apri Google Maps</t>
        </is>
      </c>
      <c r="AP44" s="8" t="inlineStr">
        <is>
          <t>Linea AT 380 kV a ~297 m; Stazione elettrica Cadeo FS a ~1,6 km; 1,0 ha oltre i 300 m</t>
        </is>
      </c>
      <c r="AQ44" s="47" t="n"/>
      <c r="AR44" s="61" t="n"/>
      <c r="AS44" s="62">
        <f>IF(AR44="","",AR44*762.02)</f>
        <v/>
      </c>
      <c r="AT44" s="7">
        <f>IF(AR44="","",IF(AR44&lt;=$C$3,"SÌ (ENTRO 8€/MQ)","NO (SOPRA SOGLIA -&gt; PROPORRE DDS)"))</f>
        <v/>
      </c>
    </row>
    <row r="45" ht="24" customHeight="1">
      <c r="A45" s="7" t="n">
        <v>40</v>
      </c>
      <c r="B45" s="32" t="inlineStr">
        <is>
          <t>PC-A21-040</t>
        </is>
      </c>
      <c r="C45" s="8" t="inlineStr">
        <is>
          <t>Top 50 Aperta Campagna</t>
        </is>
      </c>
      <c r="D45" s="8" t="inlineStr">
        <is>
          <t>🔥 Priorità 1 · Top Taglia / Rete AT Vicina</t>
        </is>
      </c>
      <c r="E45" s="6" t="inlineStr">
        <is>
          <t>Castel San Giovanni</t>
        </is>
      </c>
      <c r="F45" s="7" t="inlineStr">
        <is>
          <t>C261</t>
        </is>
      </c>
      <c r="G45" s="7" t="n">
        <v>8</v>
      </c>
      <c r="H45" s="7" t="n">
        <v>4</v>
      </c>
      <c r="I45" s="52" t="n">
        <v>6.24</v>
      </c>
      <c r="J45" s="52" t="n">
        <v>5.89</v>
      </c>
      <c r="K45" s="53">
        <f>I45*13.1230</f>
        <v/>
      </c>
      <c r="L45" s="53">
        <f>J45*13.1230</f>
        <v/>
      </c>
      <c r="M45" s="7" t="inlineStr">
        <is>
          <t>A21</t>
        </is>
      </c>
      <c r="N45" s="54" t="n">
        <v>9</v>
      </c>
      <c r="O45" s="54" t="n">
        <v>15</v>
      </c>
      <c r="P45" s="7" t="n">
        <v>132</v>
      </c>
      <c r="Q45" s="8" t="inlineStr">
        <is>
          <t>La Casella centrale (380 kV)</t>
        </is>
      </c>
      <c r="R45" s="55" t="n">
        <v>5.1</v>
      </c>
      <c r="S45" s="8" t="inlineStr">
        <is>
          <t>CP Arena Po (AC001E01164)</t>
        </is>
      </c>
      <c r="T45" s="54" t="n">
        <v>3739</v>
      </c>
      <c r="U45" s="11" t="n">
        <v>288035</v>
      </c>
      <c r="V45" s="56" t="n">
        <v>5.2</v>
      </c>
      <c r="W45" s="56" t="n">
        <v>4.91</v>
      </c>
      <c r="X45" s="54" t="n">
        <v>8282</v>
      </c>
      <c r="Y45" s="10" t="n">
        <v>5.6</v>
      </c>
      <c r="Z45" s="12" t="n">
        <v>5.55</v>
      </c>
      <c r="AA45" s="14">
        <f>Z45*762.02</f>
        <v/>
      </c>
      <c r="AB45" s="13">
        <f>I45*10000*Z45</f>
        <v/>
      </c>
      <c r="AC45" s="7" t="inlineStr">
        <is>
          <t>5.30-6.80</t>
        </is>
      </c>
      <c r="AD45" s="7" t="inlineStr">
        <is>
          <t>110-150</t>
        </is>
      </c>
      <c r="AE45" s="20" t="n">
        <v>7.7</v>
      </c>
      <c r="AF45" s="22">
        <f>AE45*762.02</f>
        <v/>
      </c>
      <c r="AG45" s="21">
        <f>I45*10000*AE45</f>
        <v/>
      </c>
      <c r="AH45" s="21">
        <f>I45*10000*$C$3</f>
        <v/>
      </c>
      <c r="AI45" s="11">
        <f>I45*640</f>
        <v/>
      </c>
      <c r="AJ45" s="57">
        <f>I45*3000</f>
        <v/>
      </c>
      <c r="AK45" s="57">
        <f>AJ45*30</f>
        <v/>
      </c>
      <c r="AL45" s="58" t="n">
        <v>81.5</v>
      </c>
      <c r="AM45" s="59" t="n">
        <v>45.082477</v>
      </c>
      <c r="AN45" s="59" t="n">
        <v>9.414815000000001</v>
      </c>
      <c r="AO45" s="60" t="inlineStr">
        <is>
          <t>Apri Google Maps</t>
        </is>
      </c>
      <c r="AP45" s="8" t="inlineStr">
        <is>
          <t>Linea AT 132 kV sul fondo o al confine: condiziona il layout, ma la rete è vicina; Area residenziale a ~314 m: verificare la destinazione urbanistica</t>
        </is>
      </c>
      <c r="AQ45" s="47" t="n"/>
      <c r="AR45" s="61" t="n"/>
      <c r="AS45" s="62">
        <f>IF(AR45="","",AR45*762.02)</f>
        <v/>
      </c>
      <c r="AT45" s="7">
        <f>IF(AR45="","",IF(AR45&lt;=$C$3,"SÌ (ENTRO 8€/MQ)","NO (SOPRA SOGLIA -&gt; PROPORRE DDS)"))</f>
        <v/>
      </c>
    </row>
    <row r="46" ht="24" customHeight="1">
      <c r="A46" s="7" t="n">
        <v>41</v>
      </c>
      <c r="B46" s="32" t="inlineStr">
        <is>
          <t>PC-A21-041</t>
        </is>
      </c>
      <c r="C46" s="8" t="inlineStr">
        <is>
          <t>Estensione WMS AdE (Griglia Sfalsata)</t>
        </is>
      </c>
      <c r="D46" s="8" t="inlineStr">
        <is>
          <t>🔥 Priorità 1 · Top Taglia / Rete AT Vicina</t>
        </is>
      </c>
      <c r="E46" s="6" t="inlineStr">
        <is>
          <t>Castel San Giovanni</t>
        </is>
      </c>
      <c r="F46" s="7" t="inlineStr">
        <is>
          <t>C261</t>
        </is>
      </c>
      <c r="G46" s="7" t="n">
        <v>14</v>
      </c>
      <c r="H46" s="7" t="n">
        <v>14</v>
      </c>
      <c r="I46" s="52" t="n">
        <v>13.15</v>
      </c>
      <c r="J46" s="52" t="n">
        <v>5.87</v>
      </c>
      <c r="K46" s="53">
        <f>I46*13.1230</f>
        <v/>
      </c>
      <c r="L46" s="53">
        <f>J46*13.1230</f>
        <v/>
      </c>
      <c r="M46" s="7" t="inlineStr">
        <is>
          <t>A21</t>
        </is>
      </c>
      <c r="N46" s="54" t="n">
        <v>89</v>
      </c>
      <c r="O46" s="54" t="n">
        <v>111</v>
      </c>
      <c r="P46" s="7" t="n">
        <v>132</v>
      </c>
      <c r="Q46" s="8" t="inlineStr">
        <is>
          <t>Sarmato FS (132 kV)</t>
        </is>
      </c>
      <c r="R46" s="55" t="n">
        <v>0.6</v>
      </c>
      <c r="S46" s="8" t="inlineStr">
        <is>
          <t>CP Rottofreno (AC001E01165)</t>
        </is>
      </c>
      <c r="T46" s="54" t="n">
        <v>780</v>
      </c>
      <c r="U46" s="11" t="n">
        <v>95700</v>
      </c>
      <c r="V46" s="56" t="n">
        <v>10.96</v>
      </c>
      <c r="W46" s="56" t="n">
        <v>4.89</v>
      </c>
      <c r="X46" s="54" t="n">
        <v>17456</v>
      </c>
      <c r="Y46" s="10" t="n">
        <v>5.6</v>
      </c>
      <c r="Z46" s="12" t="n">
        <v>5.55</v>
      </c>
      <c r="AA46" s="14">
        <f>Z46*762.02</f>
        <v/>
      </c>
      <c r="AB46" s="13">
        <f>I46*10000*Z46</f>
        <v/>
      </c>
      <c r="AC46" s="7" t="inlineStr">
        <is>
          <t>5.30-6.80</t>
        </is>
      </c>
      <c r="AD46" s="7" t="inlineStr">
        <is>
          <t>110-150</t>
        </is>
      </c>
      <c r="AE46" s="20" t="n">
        <v>7.7</v>
      </c>
      <c r="AF46" s="22">
        <f>AE46*762.02</f>
        <v/>
      </c>
      <c r="AG46" s="21">
        <f>I46*10000*AE46</f>
        <v/>
      </c>
      <c r="AH46" s="21">
        <f>I46*10000*$C$3</f>
        <v/>
      </c>
      <c r="AI46" s="11">
        <f>I46*640</f>
        <v/>
      </c>
      <c r="AJ46" s="57">
        <f>I46*3000</f>
        <v/>
      </c>
      <c r="AK46" s="57">
        <f>AJ46*30</f>
        <v/>
      </c>
      <c r="AL46" s="58" t="n">
        <v>95</v>
      </c>
      <c r="AM46" s="59" t="n">
        <v>45.069062</v>
      </c>
      <c r="AN46" s="59" t="n">
        <v>9.479824000000001</v>
      </c>
      <c r="AO46" s="60" t="inlineStr">
        <is>
          <t>Apri Google Maps</t>
        </is>
      </c>
      <c r="AP46" s="8" t="inlineStr">
        <is>
          <t>Linea AT 132 kV a ~111 m; Stazione elettrica Sarmato FS a ~0,6 km; 7,3 ha oltre i 300 m</t>
        </is>
      </c>
      <c r="AQ46" s="47" t="n"/>
      <c r="AR46" s="61" t="n"/>
      <c r="AS46" s="62">
        <f>IF(AR46="","",AR46*762.02)</f>
        <v/>
      </c>
      <c r="AT46" s="7">
        <f>IF(AR46="","",IF(AR46&lt;=$C$3,"SÌ (ENTRO 8€/MQ)","NO (SOPRA SOGLIA -&gt; PROPORRE DDS)"))</f>
        <v/>
      </c>
    </row>
    <row r="47" ht="24" customHeight="1">
      <c r="A47" s="7" t="n">
        <v>42</v>
      </c>
      <c r="B47" s="32" t="inlineStr">
        <is>
          <t>PC-A1-042</t>
        </is>
      </c>
      <c r="C47" s="8" t="inlineStr">
        <is>
          <t>Top 50 Aperta Campagna</t>
        </is>
      </c>
      <c r="D47" s="8" t="inlineStr">
        <is>
          <t>🔥 Priorità 1 · Top Taglia / Rete AT Vicina</t>
        </is>
      </c>
      <c r="E47" s="6" t="inlineStr">
        <is>
          <t>Pontenure</t>
        </is>
      </c>
      <c r="F47" s="7" t="inlineStr">
        <is>
          <t>G852</t>
        </is>
      </c>
      <c r="G47" s="7" t="n">
        <v>13</v>
      </c>
      <c r="H47" s="7" t="n">
        <v>199</v>
      </c>
      <c r="I47" s="52" t="n">
        <v>7.56</v>
      </c>
      <c r="J47" s="52" t="n">
        <v>5.83</v>
      </c>
      <c r="K47" s="53">
        <f>I47*13.1230</f>
        <v/>
      </c>
      <c r="L47" s="53">
        <f>J47*13.1230</f>
        <v/>
      </c>
      <c r="M47" s="7" t="inlineStr">
        <is>
          <t>A1</t>
        </is>
      </c>
      <c r="N47" s="54" t="n">
        <v>18</v>
      </c>
      <c r="O47" s="54" t="n">
        <v>128</v>
      </c>
      <c r="P47" s="7" t="n">
        <v>132</v>
      </c>
      <c r="Q47" s="8" t="inlineStr">
        <is>
          <t>Cadeo FS (132 kV)</t>
        </is>
      </c>
      <c r="R47" s="55" t="n">
        <v>4.2</v>
      </c>
      <c r="S47" s="8" t="inlineStr">
        <is>
          <t>CP Pontenure 132/15 kV</t>
        </is>
      </c>
      <c r="T47" s="54" t="n">
        <v>4400</v>
      </c>
      <c r="U47" s="11" t="n">
        <v>331000</v>
      </c>
      <c r="V47" s="56" t="n">
        <v>6.3</v>
      </c>
      <c r="W47" s="56" t="n">
        <v>4.86</v>
      </c>
      <c r="X47" s="54" t="n">
        <v>10034</v>
      </c>
      <c r="Y47" s="10" t="n">
        <v>5.85</v>
      </c>
      <c r="Z47" s="12" t="n">
        <v>6.1</v>
      </c>
      <c r="AA47" s="14">
        <f>Z47*762.02</f>
        <v/>
      </c>
      <c r="AB47" s="13">
        <f>I47*10000*Z47</f>
        <v/>
      </c>
      <c r="AC47" s="7" t="inlineStr">
        <is>
          <t>6.00-7.35</t>
        </is>
      </c>
      <c r="AD47" s="7" t="inlineStr">
        <is>
          <t>85-110</t>
        </is>
      </c>
      <c r="AE47" s="20" t="n">
        <v>7.65</v>
      </c>
      <c r="AF47" s="22">
        <f>AE47*762.02</f>
        <v/>
      </c>
      <c r="AG47" s="21">
        <f>I47*10000*AE47</f>
        <v/>
      </c>
      <c r="AH47" s="21">
        <f>I47*10000*$C$3</f>
        <v/>
      </c>
      <c r="AI47" s="11">
        <f>I47*680</f>
        <v/>
      </c>
      <c r="AJ47" s="57">
        <f>I47*3000</f>
        <v/>
      </c>
      <c r="AK47" s="57">
        <f>AJ47*30</f>
        <v/>
      </c>
      <c r="AL47" s="58" t="n">
        <v>81.5</v>
      </c>
      <c r="AM47" s="59" t="n">
        <v>44.998189</v>
      </c>
      <c r="AN47" s="59" t="n">
        <v>9.814251000000001</v>
      </c>
      <c r="AO47" s="60" t="inlineStr">
        <is>
          <t>Apri Google Maps</t>
        </is>
      </c>
      <c r="AP47" s="8" t="inlineStr">
        <is>
          <t>Linea AT 132 kV a ~128 m; 1,7 ha oltre i 300 m</t>
        </is>
      </c>
      <c r="AQ47" s="47" t="n"/>
      <c r="AR47" s="61" t="n"/>
      <c r="AS47" s="62">
        <f>IF(AR47="","",AR47*762.02)</f>
        <v/>
      </c>
      <c r="AT47" s="7">
        <f>IF(AR47="","",IF(AR47&lt;=$C$3,"SÌ (ENTRO 8€/MQ)","NO (SOPRA SOGLIA -&gt; PROPORRE DDS)"))</f>
        <v/>
      </c>
    </row>
    <row r="48" ht="24" customHeight="1">
      <c r="A48" s="7" t="n">
        <v>43</v>
      </c>
      <c r="B48" s="32" t="inlineStr">
        <is>
          <t>PC-A1-043</t>
        </is>
      </c>
      <c r="C48" s="8" t="inlineStr">
        <is>
          <t>Top 50 Aperta Campagna</t>
        </is>
      </c>
      <c r="D48" s="8" t="inlineStr">
        <is>
          <t>🔥 Priorità 1 · Top Taglia / Rete AT Vicina</t>
        </is>
      </c>
      <c r="E48" s="6" t="inlineStr">
        <is>
          <t>Cadeo</t>
        </is>
      </c>
      <c r="F48" s="7" t="inlineStr">
        <is>
          <t>B332</t>
        </is>
      </c>
      <c r="G48" s="7" t="n">
        <v>9</v>
      </c>
      <c r="H48" s="7" t="n">
        <v>146</v>
      </c>
      <c r="I48" s="52" t="n">
        <v>7.47</v>
      </c>
      <c r="J48" s="52" t="n">
        <v>5.7</v>
      </c>
      <c r="K48" s="53">
        <f>I48*13.1230</f>
        <v/>
      </c>
      <c r="L48" s="53">
        <f>J48*13.1230</f>
        <v/>
      </c>
      <c r="M48" s="7" t="inlineStr">
        <is>
          <t>A1</t>
        </is>
      </c>
      <c r="N48" s="54" t="n">
        <v>59</v>
      </c>
      <c r="O48" s="54" t="n">
        <v>115</v>
      </c>
      <c r="P48" s="7" t="n">
        <v>380</v>
      </c>
      <c r="Q48" s="8" t="inlineStr">
        <is>
          <t>Cadeo FS (132 kV)</t>
        </is>
      </c>
      <c r="R48" s="55" t="n">
        <v>2.1</v>
      </c>
      <c r="S48" s="8" t="inlineStr">
        <is>
          <t>CP Cortemaggiore (AC001E01172)</t>
        </is>
      </c>
      <c r="T48" s="54" t="n">
        <v>2730</v>
      </c>
      <c r="U48" s="11" t="n">
        <v>222450</v>
      </c>
      <c r="V48" s="56" t="n">
        <v>6.22</v>
      </c>
      <c r="W48" s="56" t="n">
        <v>4.75</v>
      </c>
      <c r="X48" s="54" t="n">
        <v>9907</v>
      </c>
      <c r="Y48" s="10" t="n">
        <v>5.45</v>
      </c>
      <c r="Z48" s="12" t="n">
        <v>5.75</v>
      </c>
      <c r="AA48" s="14">
        <f>Z48*762.02</f>
        <v/>
      </c>
      <c r="AB48" s="13">
        <f>I48*10000*Z48</f>
        <v/>
      </c>
      <c r="AC48" s="7" t="inlineStr">
        <is>
          <t>5.60-7.15</t>
        </is>
      </c>
      <c r="AD48" s="7" t="inlineStr">
        <is>
          <t>70-95</t>
        </is>
      </c>
      <c r="AE48" s="20" t="n">
        <v>7.2</v>
      </c>
      <c r="AF48" s="22">
        <f>AE48*762.02</f>
        <v/>
      </c>
      <c r="AG48" s="21">
        <f>I48*10000*AE48</f>
        <v/>
      </c>
      <c r="AH48" s="21">
        <f>I48*10000*$C$3</f>
        <v/>
      </c>
      <c r="AI48" s="11">
        <f>I48*640</f>
        <v/>
      </c>
      <c r="AJ48" s="57">
        <f>I48*3000</f>
        <v/>
      </c>
      <c r="AK48" s="57">
        <f>AJ48*30</f>
        <v/>
      </c>
      <c r="AL48" s="58" t="n">
        <v>86.5</v>
      </c>
      <c r="AM48" s="59" t="n">
        <v>44.988901</v>
      </c>
      <c r="AN48" s="59" t="n">
        <v>9.849365000000001</v>
      </c>
      <c r="AO48" s="60" t="inlineStr">
        <is>
          <t>Apri Google Maps</t>
        </is>
      </c>
      <c r="AP48" s="8" t="inlineStr">
        <is>
          <t>Linea AT 380 kV a ~115 m; 1,8 ha oltre i 300 m</t>
        </is>
      </c>
      <c r="AQ48" s="47" t="n"/>
      <c r="AR48" s="61" t="n"/>
      <c r="AS48" s="62">
        <f>IF(AR48="","",AR48*762.02)</f>
        <v/>
      </c>
      <c r="AT48" s="7">
        <f>IF(AR48="","",IF(AR48&lt;=$C$3,"SÌ (ENTRO 8€/MQ)","NO (SOPRA SOGLIA -&gt; PROPORRE DDS)"))</f>
        <v/>
      </c>
    </row>
    <row r="49" ht="24" customHeight="1">
      <c r="A49" s="7" t="n">
        <v>44</v>
      </c>
      <c r="B49" s="32" t="inlineStr">
        <is>
          <t>PC-A1-044</t>
        </is>
      </c>
      <c r="C49" s="8" t="inlineStr">
        <is>
          <t>Top 50 Aperta Campagna</t>
        </is>
      </c>
      <c r="D49" s="8" t="inlineStr">
        <is>
          <t>✅ Priorità 2 · Aperta Campagna Qualificata</t>
        </is>
      </c>
      <c r="E49" s="6" t="inlineStr">
        <is>
          <t>Cadeo</t>
        </is>
      </c>
      <c r="F49" s="7" t="inlineStr">
        <is>
          <t>B332</t>
        </is>
      </c>
      <c r="G49" s="7" t="n">
        <v>9</v>
      </c>
      <c r="H49" s="7" t="n">
        <v>187</v>
      </c>
      <c r="I49" s="52" t="n">
        <v>10.04</v>
      </c>
      <c r="J49" s="52" t="n">
        <v>5.57</v>
      </c>
      <c r="K49" s="53">
        <f>I49*13.1230</f>
        <v/>
      </c>
      <c r="L49" s="53">
        <f>J49*13.1230</f>
        <v/>
      </c>
      <c r="M49" s="7" t="inlineStr">
        <is>
          <t>A1</t>
        </is>
      </c>
      <c r="N49" s="54" t="n">
        <v>64</v>
      </c>
      <c r="O49" s="54" t="n">
        <v>395</v>
      </c>
      <c r="P49" s="7" t="n">
        <v>132</v>
      </c>
      <c r="Q49" s="8" t="inlineStr">
        <is>
          <t>Cadeo FS (132 kV)</t>
        </is>
      </c>
      <c r="R49" s="55" t="n">
        <v>1.7</v>
      </c>
      <c r="S49" s="8" t="inlineStr">
        <is>
          <t>CP Pontenure 132/15 kV</t>
        </is>
      </c>
      <c r="T49" s="54" t="n">
        <v>2210</v>
      </c>
      <c r="U49" s="11" t="n">
        <v>188650</v>
      </c>
      <c r="V49" s="56" t="n">
        <v>8.369999999999999</v>
      </c>
      <c r="W49" s="56" t="n">
        <v>4.64</v>
      </c>
      <c r="X49" s="54" t="n">
        <v>13331</v>
      </c>
      <c r="Y49" s="10" t="n">
        <v>5.45</v>
      </c>
      <c r="Z49" s="12" t="n">
        <v>5.75</v>
      </c>
      <c r="AA49" s="14">
        <f>Z49*762.02</f>
        <v/>
      </c>
      <c r="AB49" s="13">
        <f>I49*10000*Z49</f>
        <v/>
      </c>
      <c r="AC49" s="7" t="inlineStr">
        <is>
          <t>5.60-7.15</t>
        </is>
      </c>
      <c r="AD49" s="7" t="inlineStr">
        <is>
          <t>70-95</t>
        </is>
      </c>
      <c r="AE49" s="20" t="n">
        <v>7.2</v>
      </c>
      <c r="AF49" s="22">
        <f>AE49*762.02</f>
        <v/>
      </c>
      <c r="AG49" s="21">
        <f>I49*10000*AE49</f>
        <v/>
      </c>
      <c r="AH49" s="21">
        <f>I49*10000*$C$3</f>
        <v/>
      </c>
      <c r="AI49" s="11">
        <f>I49*640</f>
        <v/>
      </c>
      <c r="AJ49" s="57">
        <f>I49*3000</f>
        <v/>
      </c>
      <c r="AK49" s="57">
        <f>AJ49*30</f>
        <v/>
      </c>
      <c r="AL49" s="58" t="n">
        <v>84.5</v>
      </c>
      <c r="AM49" s="59" t="n">
        <v>44.984705</v>
      </c>
      <c r="AN49" s="59" t="n">
        <v>9.845846</v>
      </c>
      <c r="AO49" s="60" t="inlineStr">
        <is>
          <t>Apri Google Maps</t>
        </is>
      </c>
      <c r="AP49" s="8" t="inlineStr">
        <is>
          <t>4,5 ha oltre i 300 m</t>
        </is>
      </c>
      <c r="AQ49" s="47" t="n"/>
      <c r="AR49" s="61" t="n"/>
      <c r="AS49" s="62">
        <f>IF(AR49="","",AR49*762.02)</f>
        <v/>
      </c>
      <c r="AT49" s="7">
        <f>IF(AR49="","",IF(AR49&lt;=$C$3,"SÌ (ENTRO 8€/MQ)","NO (SOPRA SOGLIA -&gt; PROPORRE DDS)"))</f>
        <v/>
      </c>
    </row>
    <row r="50" ht="24" customHeight="1">
      <c r="A50" s="7" t="n">
        <v>45</v>
      </c>
      <c r="B50" s="32" t="inlineStr">
        <is>
          <t>PC-A21-045</t>
        </is>
      </c>
      <c r="C50" s="8" t="inlineStr">
        <is>
          <t>Top 50 Aperta Campagna</t>
        </is>
      </c>
      <c r="D50" s="8" t="inlineStr">
        <is>
          <t>✅ Priorità 2 · Aperta Campagna Qualificata</t>
        </is>
      </c>
      <c r="E50" s="6" t="inlineStr">
        <is>
          <t>Caorso</t>
        </is>
      </c>
      <c r="F50" s="7" t="inlineStr">
        <is>
          <t>B643</t>
        </is>
      </c>
      <c r="G50" s="7" t="n">
        <v>18</v>
      </c>
      <c r="H50" s="7" t="n">
        <v>37</v>
      </c>
      <c r="I50" s="52" t="n">
        <v>6.55</v>
      </c>
      <c r="J50" s="52" t="n">
        <v>5.54</v>
      </c>
      <c r="K50" s="53">
        <f>I50*13.1230</f>
        <v/>
      </c>
      <c r="L50" s="53">
        <f>J50*13.1230</f>
        <v/>
      </c>
      <c r="M50" s="7" t="inlineStr">
        <is>
          <t>A21</t>
        </is>
      </c>
      <c r="N50" s="54" t="n">
        <v>97</v>
      </c>
      <c r="O50" s="54" t="n">
        <v>370</v>
      </c>
      <c r="P50" s="7" t="n">
        <v>132</v>
      </c>
      <c r="Q50" s="8" t="inlineStr">
        <is>
          <t>Caorso (380 kV)</t>
        </is>
      </c>
      <c r="R50" s="55" t="n">
        <v>3.9</v>
      </c>
      <c r="S50" s="8" t="inlineStr">
        <is>
          <t>CP Pontenure (AC001E01166)</t>
        </is>
      </c>
      <c r="T50" s="54" t="n">
        <v>5070</v>
      </c>
      <c r="U50" s="11" t="n">
        <v>374550</v>
      </c>
      <c r="V50" s="56" t="n">
        <v>5.46</v>
      </c>
      <c r="W50" s="56" t="n">
        <v>4.62</v>
      </c>
      <c r="X50" s="54" t="n">
        <v>8696</v>
      </c>
      <c r="Y50" s="10" t="n">
        <v>5.55</v>
      </c>
      <c r="Z50" s="12" t="n">
        <v>5.45</v>
      </c>
      <c r="AA50" s="14">
        <f>Z50*762.02</f>
        <v/>
      </c>
      <c r="AB50" s="13">
        <f>I50*10000*Z50</f>
        <v/>
      </c>
      <c r="AC50" s="7" t="inlineStr">
        <is>
          <t>5.20-6.50</t>
        </is>
      </c>
      <c r="AD50" s="7" t="inlineStr">
        <is>
          <t>85-100</t>
        </is>
      </c>
      <c r="AE50" s="20" t="n">
        <v>7.35</v>
      </c>
      <c r="AF50" s="22">
        <f>AE50*762.02</f>
        <v/>
      </c>
      <c r="AG50" s="21">
        <f>I50*10000*AE50</f>
        <v/>
      </c>
      <c r="AH50" s="21">
        <f>I50*10000*$C$3</f>
        <v/>
      </c>
      <c r="AI50" s="11">
        <f>I50*620</f>
        <v/>
      </c>
      <c r="AJ50" s="57">
        <f>I50*3000</f>
        <v/>
      </c>
      <c r="AK50" s="57">
        <f>AJ50*30</f>
        <v/>
      </c>
      <c r="AL50" s="58" t="n">
        <v>75</v>
      </c>
      <c r="AM50" s="59" t="n">
        <v>45.047871</v>
      </c>
      <c r="AN50" s="59" t="n">
        <v>9.831258999999999</v>
      </c>
      <c r="AO50" s="60" t="inlineStr">
        <is>
          <t>Apri Google Maps</t>
        </is>
      </c>
      <c r="AP50" s="8" t="inlineStr">
        <is>
          <t>1,0 ha oltre i 300 m</t>
        </is>
      </c>
      <c r="AQ50" s="47" t="n"/>
      <c r="AR50" s="61" t="n"/>
      <c r="AS50" s="62">
        <f>IF(AR50="","",AR50*762.02)</f>
        <v/>
      </c>
      <c r="AT50" s="7">
        <f>IF(AR50="","",IF(AR50&lt;=$C$3,"SÌ (ENTRO 8€/MQ)","NO (SOPRA SOGLIA -&gt; PROPORRE DDS)"))</f>
        <v/>
      </c>
    </row>
    <row r="51" ht="24" customHeight="1">
      <c r="A51" s="7" t="n">
        <v>46</v>
      </c>
      <c r="B51" s="32" t="inlineStr">
        <is>
          <t>PC-A21-046</t>
        </is>
      </c>
      <c r="C51" s="8" t="inlineStr">
        <is>
          <t>Top 50 Aperta Campagna</t>
        </is>
      </c>
      <c r="D51" s="8" t="inlineStr">
        <is>
          <t>✅ Priorità 2 · Aperta Campagna Qualificata</t>
        </is>
      </c>
      <c r="E51" s="6" t="inlineStr">
        <is>
          <t>Castelvetro Piacentino</t>
        </is>
      </c>
      <c r="F51" s="7" t="inlineStr">
        <is>
          <t>C288</t>
        </is>
      </c>
      <c r="G51" s="7" t="n">
        <v>24</v>
      </c>
      <c r="H51" s="7" t="n">
        <v>100</v>
      </c>
      <c r="I51" s="52" t="n">
        <v>5.52</v>
      </c>
      <c r="J51" s="52" t="n">
        <v>5.52</v>
      </c>
      <c r="K51" s="53">
        <f>I51*13.1230</f>
        <v/>
      </c>
      <c r="L51" s="53">
        <f>J51*13.1230</f>
        <v/>
      </c>
      <c r="M51" s="7" t="inlineStr">
        <is>
          <t>A21</t>
        </is>
      </c>
      <c r="N51" s="54" t="n">
        <v>10</v>
      </c>
      <c r="O51" s="54" t="n">
        <v>1096</v>
      </c>
      <c r="P51" s="7" t="n">
        <v>380</v>
      </c>
      <c r="Q51" s="8" t="inlineStr">
        <is>
          <t>Monticelli Ferrovia (132 kV)</t>
        </is>
      </c>
      <c r="R51" s="55" t="n">
        <v>3.1</v>
      </c>
      <c r="S51" s="8" t="inlineStr">
        <is>
          <t>CP Monticelli d'Ongina (AC001E01173)</t>
        </is>
      </c>
      <c r="T51" s="54" t="n">
        <v>4030</v>
      </c>
      <c r="U51" s="11" t="n">
        <v>306950</v>
      </c>
      <c r="V51" s="56" t="n">
        <v>4.6</v>
      </c>
      <c r="W51" s="56" t="n">
        <v>4.6</v>
      </c>
      <c r="X51" s="54" t="n">
        <v>7326</v>
      </c>
      <c r="Y51" s="10" t="n">
        <v>5.5</v>
      </c>
      <c r="Z51" s="12" t="n">
        <v>5.3</v>
      </c>
      <c r="AA51" s="14">
        <f>Z51*762.02</f>
        <v/>
      </c>
      <c r="AB51" s="13">
        <f>I51*10000*Z51</f>
        <v/>
      </c>
      <c r="AC51" s="7" t="inlineStr">
        <is>
          <t>5.10-6.30</t>
        </is>
      </c>
      <c r="AD51" s="7" t="inlineStr">
        <is>
          <t>60-85</t>
        </is>
      </c>
      <c r="AE51" s="20" t="n">
        <v>7.15</v>
      </c>
      <c r="AF51" s="22">
        <f>AE51*762.02</f>
        <v/>
      </c>
      <c r="AG51" s="21">
        <f>I51*10000*AE51</f>
        <v/>
      </c>
      <c r="AH51" s="21">
        <f>I51*10000*$C$3</f>
        <v/>
      </c>
      <c r="AI51" s="11">
        <f>I51*600</f>
        <v/>
      </c>
      <c r="AJ51" s="57">
        <f>I51*3000</f>
        <v/>
      </c>
      <c r="AK51" s="57">
        <f>AJ51*30</f>
        <v/>
      </c>
      <c r="AL51" s="58" t="n">
        <v>79</v>
      </c>
      <c r="AM51" s="59" t="n">
        <v>45.068466</v>
      </c>
      <c r="AN51" s="59" t="n">
        <v>9.956766999999999</v>
      </c>
      <c r="AO51" s="60" t="inlineStr">
        <is>
          <t>Apri Google Maps</t>
        </is>
      </c>
      <c r="AP51" s="8" t="inlineStr">
        <is>
          <t>Area produttiva a ~354 m: verificare la destinazione urbanistica</t>
        </is>
      </c>
      <c r="AQ51" s="47" t="n"/>
      <c r="AR51" s="61" t="n"/>
      <c r="AS51" s="62">
        <f>IF(AR51="","",AR51*762.02)</f>
        <v/>
      </c>
      <c r="AT51" s="7">
        <f>IF(AR51="","",IF(AR51&lt;=$C$3,"SÌ (ENTRO 8€/MQ)","NO (SOPRA SOGLIA -&gt; PROPORRE DDS)"))</f>
        <v/>
      </c>
    </row>
    <row r="52" ht="24" customHeight="1">
      <c r="A52" s="7" t="n">
        <v>47</v>
      </c>
      <c r="B52" s="32" t="inlineStr">
        <is>
          <t>PC-A21-047</t>
        </is>
      </c>
      <c r="C52" s="8" t="inlineStr">
        <is>
          <t>Top 50 Aperta Campagna</t>
        </is>
      </c>
      <c r="D52" s="8" t="inlineStr">
        <is>
          <t>✅ Priorità 2 · Aperta Campagna Qualificata</t>
        </is>
      </c>
      <c r="E52" s="6" t="inlineStr">
        <is>
          <t>Castelvetro Piacentino</t>
        </is>
      </c>
      <c r="F52" s="7" t="inlineStr">
        <is>
          <t>C288</t>
        </is>
      </c>
      <c r="G52" s="7" t="n">
        <v>16</v>
      </c>
      <c r="H52" s="7" t="n">
        <v>142</v>
      </c>
      <c r="I52" s="52" t="n">
        <v>5.5</v>
      </c>
      <c r="J52" s="52" t="n">
        <v>5.5</v>
      </c>
      <c r="K52" s="53">
        <f>I52*13.1230</f>
        <v/>
      </c>
      <c r="L52" s="53">
        <f>J52*13.1230</f>
        <v/>
      </c>
      <c r="M52" s="7" t="inlineStr">
        <is>
          <t>A21</t>
        </is>
      </c>
      <c r="N52" s="54" t="n">
        <v>14</v>
      </c>
      <c r="O52" s="54" t="n">
        <v>2036</v>
      </c>
      <c r="P52" s="7" t="n">
        <v>380</v>
      </c>
      <c r="Q52" s="8" t="inlineStr">
        <is>
          <t>Monticelli Ferrovia (132 kV)</t>
        </is>
      </c>
      <c r="R52" s="55" t="n">
        <v>4.8</v>
      </c>
      <c r="S52" s="8" t="inlineStr">
        <is>
          <t>CP Monticelli d'Ongina (AC001E01173)</t>
        </is>
      </c>
      <c r="T52" s="54" t="n">
        <v>6240</v>
      </c>
      <c r="U52" s="11" t="n">
        <v>450600</v>
      </c>
      <c r="V52" s="56" t="n">
        <v>4.58</v>
      </c>
      <c r="W52" s="56" t="n">
        <v>4.58</v>
      </c>
      <c r="X52" s="54" t="n">
        <v>7295</v>
      </c>
      <c r="Y52" s="10" t="n">
        <v>5.5</v>
      </c>
      <c r="Z52" s="12" t="n">
        <v>5.3</v>
      </c>
      <c r="AA52" s="14">
        <f>Z52*762.02</f>
        <v/>
      </c>
      <c r="AB52" s="13">
        <f>I52*10000*Z52</f>
        <v/>
      </c>
      <c r="AC52" s="7" t="inlineStr">
        <is>
          <t>5.10-6.30</t>
        </is>
      </c>
      <c r="AD52" s="7" t="inlineStr">
        <is>
          <t>60-85</t>
        </is>
      </c>
      <c r="AE52" s="20" t="n">
        <v>7.15</v>
      </c>
      <c r="AF52" s="22">
        <f>AE52*762.02</f>
        <v/>
      </c>
      <c r="AG52" s="21">
        <f>I52*10000*AE52</f>
        <v/>
      </c>
      <c r="AH52" s="21">
        <f>I52*10000*$C$3</f>
        <v/>
      </c>
      <c r="AI52" s="11">
        <f>I52*600</f>
        <v/>
      </c>
      <c r="AJ52" s="57">
        <f>I52*3000</f>
        <v/>
      </c>
      <c r="AK52" s="57">
        <f>AJ52*30</f>
        <v/>
      </c>
      <c r="AL52" s="58" t="n">
        <v>75</v>
      </c>
      <c r="AM52" s="59" t="n">
        <v>45.077314</v>
      </c>
      <c r="AN52" s="59" t="n">
        <v>9.975459000000001</v>
      </c>
      <c r="AO52" s="60" t="inlineStr">
        <is>
          <t>Apri Google Maps</t>
        </is>
      </c>
      <c r="AP52" s="8" t="inlineStr">
        <is>
          <t>Seminativo aperto in fascia autostradale ≤300m D.Lgs. 199/2021</t>
        </is>
      </c>
      <c r="AQ52" s="47" t="n"/>
      <c r="AR52" s="61" t="n"/>
      <c r="AS52" s="62">
        <f>IF(AR52="","",AR52*762.02)</f>
        <v/>
      </c>
      <c r="AT52" s="7">
        <f>IF(AR52="","",IF(AR52&lt;=$C$3,"SÌ (ENTRO 8€/MQ)","NO (SOPRA SOGLIA -&gt; PROPORRE DDS)"))</f>
        <v/>
      </c>
    </row>
    <row r="53" ht="24" customHeight="1">
      <c r="A53" s="7" t="n">
        <v>48</v>
      </c>
      <c r="B53" s="32" t="inlineStr">
        <is>
          <t>PC-A21-048</t>
        </is>
      </c>
      <c r="C53" s="8" t="inlineStr">
        <is>
          <t>Top 50 Aperta Campagna</t>
        </is>
      </c>
      <c r="D53" s="8" t="inlineStr">
        <is>
          <t>✅ Priorità 2 · Aperta Campagna Qualificata</t>
        </is>
      </c>
      <c r="E53" s="6" t="inlineStr">
        <is>
          <t>Castel San Giovanni</t>
        </is>
      </c>
      <c r="F53" s="7" t="inlineStr">
        <is>
          <t>C261</t>
        </is>
      </c>
      <c r="G53" s="7" t="n">
        <v>3</v>
      </c>
      <c r="H53" s="7" t="n">
        <v>25</v>
      </c>
      <c r="I53" s="52" t="n">
        <v>5.48</v>
      </c>
      <c r="J53" s="52" t="n">
        <v>5.48</v>
      </c>
      <c r="K53" s="53">
        <f>I53*13.1230</f>
        <v/>
      </c>
      <c r="L53" s="53">
        <f>J53*13.1230</f>
        <v/>
      </c>
      <c r="M53" s="7" t="inlineStr">
        <is>
          <t>A21</t>
        </is>
      </c>
      <c r="N53" s="54" t="n">
        <v>13</v>
      </c>
      <c r="O53" s="54" t="n">
        <v>176</v>
      </c>
      <c r="P53" s="7" t="n">
        <v>132</v>
      </c>
      <c r="Q53" s="8" t="inlineStr">
        <is>
          <t>La Casella centrale (380 kV)</t>
        </is>
      </c>
      <c r="R53" s="55" t="n">
        <v>3.6</v>
      </c>
      <c r="S53" s="8" t="inlineStr">
        <is>
          <t>CP Arena Po (AC001E01164)</t>
        </is>
      </c>
      <c r="T53" s="54" t="n">
        <v>4680</v>
      </c>
      <c r="U53" s="11" t="n">
        <v>349200</v>
      </c>
      <c r="V53" s="56" t="n">
        <v>4.57</v>
      </c>
      <c r="W53" s="56" t="n">
        <v>4.57</v>
      </c>
      <c r="X53" s="54" t="n">
        <v>7279</v>
      </c>
      <c r="Y53" s="10" t="n">
        <v>5.6</v>
      </c>
      <c r="Z53" s="12" t="n">
        <v>5.55</v>
      </c>
      <c r="AA53" s="14">
        <f>Z53*762.02</f>
        <v/>
      </c>
      <c r="AB53" s="13">
        <f>I53*10000*Z53</f>
        <v/>
      </c>
      <c r="AC53" s="7" t="inlineStr">
        <is>
          <t>5.30-6.80</t>
        </is>
      </c>
      <c r="AD53" s="7" t="inlineStr">
        <is>
          <t>110-150</t>
        </is>
      </c>
      <c r="AE53" s="20" t="n">
        <v>7.7</v>
      </c>
      <c r="AF53" s="22">
        <f>AE53*762.02</f>
        <v/>
      </c>
      <c r="AG53" s="21">
        <f>I53*10000*AE53</f>
        <v/>
      </c>
      <c r="AH53" s="21">
        <f>I53*10000*$C$3</f>
        <v/>
      </c>
      <c r="AI53" s="11">
        <f>I53*640</f>
        <v/>
      </c>
      <c r="AJ53" s="57">
        <f>I53*3000</f>
        <v/>
      </c>
      <c r="AK53" s="57">
        <f>AJ53*30</f>
        <v/>
      </c>
      <c r="AL53" s="58" t="n">
        <v>75</v>
      </c>
      <c r="AM53" s="59" t="n">
        <v>45.078836</v>
      </c>
      <c r="AN53" s="59" t="n">
        <v>9.436467</v>
      </c>
      <c r="AO53" s="60" t="inlineStr">
        <is>
          <t>Apri Google Maps</t>
        </is>
      </c>
      <c r="AP53" s="8" t="inlineStr">
        <is>
          <t>Linea AT 132 kV a ~176 m</t>
        </is>
      </c>
      <c r="AQ53" s="47" t="n"/>
      <c r="AR53" s="61" t="n"/>
      <c r="AS53" s="62">
        <f>IF(AR53="","",AR53*762.02)</f>
        <v/>
      </c>
      <c r="AT53" s="7">
        <f>IF(AR53="","",IF(AR53&lt;=$C$3,"SÌ (ENTRO 8€/MQ)","NO (SOPRA SOGLIA -&gt; PROPORRE DDS)"))</f>
        <v/>
      </c>
    </row>
    <row r="54" ht="24" customHeight="1">
      <c r="A54" s="7" t="n">
        <v>49</v>
      </c>
      <c r="B54" s="32" t="inlineStr">
        <is>
          <t>PC-A1-049</t>
        </is>
      </c>
      <c r="C54" s="8" t="inlineStr">
        <is>
          <t>Top 50 Aperta Campagna</t>
        </is>
      </c>
      <c r="D54" s="8" t="inlineStr">
        <is>
          <t>🔥 Priorità 1 · Top Taglia / Rete AT Vicina</t>
        </is>
      </c>
      <c r="E54" s="6" t="inlineStr">
        <is>
          <t>Cadeo</t>
        </is>
      </c>
      <c r="F54" s="7" t="inlineStr">
        <is>
          <t>B332</t>
        </is>
      </c>
      <c r="G54" s="7" t="n">
        <v>18</v>
      </c>
      <c r="H54" s="7" t="n">
        <v>16</v>
      </c>
      <c r="I54" s="52" t="n">
        <v>5.42</v>
      </c>
      <c r="J54" s="52" t="n">
        <v>5.42</v>
      </c>
      <c r="K54" s="53">
        <f>I54*13.1230</f>
        <v/>
      </c>
      <c r="L54" s="53">
        <f>J54*13.1230</f>
        <v/>
      </c>
      <c r="M54" s="7" t="inlineStr">
        <is>
          <t>A1</t>
        </is>
      </c>
      <c r="N54" s="54" t="n">
        <v>14</v>
      </c>
      <c r="O54" s="54" t="n">
        <v>226</v>
      </c>
      <c r="P54" s="7" t="n">
        <v>132</v>
      </c>
      <c r="Q54" s="8" t="inlineStr">
        <is>
          <t>Cadeo FS (132 kV)</t>
        </is>
      </c>
      <c r="R54" s="55" t="n">
        <v>1.5</v>
      </c>
      <c r="S54" s="8" t="inlineStr">
        <is>
          <t>CP Cortemaggiore (AC001E01172)</t>
        </is>
      </c>
      <c r="T54" s="54" t="n">
        <v>1950</v>
      </c>
      <c r="U54" s="11" t="n">
        <v>171750</v>
      </c>
      <c r="V54" s="56" t="n">
        <v>4.52</v>
      </c>
      <c r="W54" s="56" t="n">
        <v>4.52</v>
      </c>
      <c r="X54" s="54" t="n">
        <v>7199</v>
      </c>
      <c r="Y54" s="10" t="n">
        <v>5.45</v>
      </c>
      <c r="Z54" s="12" t="n">
        <v>5.75</v>
      </c>
      <c r="AA54" s="14">
        <f>Z54*762.02</f>
        <v/>
      </c>
      <c r="AB54" s="13">
        <f>I54*10000*Z54</f>
        <v/>
      </c>
      <c r="AC54" s="7" t="inlineStr">
        <is>
          <t>5.60-7.15</t>
        </is>
      </c>
      <c r="AD54" s="7" t="inlineStr">
        <is>
          <t>70-95</t>
        </is>
      </c>
      <c r="AE54" s="20" t="n">
        <v>7.2</v>
      </c>
      <c r="AF54" s="22">
        <f>AE54*762.02</f>
        <v/>
      </c>
      <c r="AG54" s="21">
        <f>I54*10000*AE54</f>
        <v/>
      </c>
      <c r="AH54" s="21">
        <f>I54*10000*$C$3</f>
        <v/>
      </c>
      <c r="AI54" s="11">
        <f>I54*640</f>
        <v/>
      </c>
      <c r="AJ54" s="57">
        <f>I54*3000</f>
        <v/>
      </c>
      <c r="AK54" s="57">
        <f>AJ54*30</f>
        <v/>
      </c>
      <c r="AL54" s="58" t="n">
        <v>88</v>
      </c>
      <c r="AM54" s="59" t="n">
        <v>44.979369</v>
      </c>
      <c r="AN54" s="59" t="n">
        <v>9.863315999999999</v>
      </c>
      <c r="AO54" s="60" t="inlineStr">
        <is>
          <t>Apri Google Maps</t>
        </is>
      </c>
      <c r="AP54" s="8" t="inlineStr">
        <is>
          <t>Linea AT 132 kV a ~226 m; Stazione elettrica Cadeo FS a ~1,5 km</t>
        </is>
      </c>
      <c r="AQ54" s="47" t="n"/>
      <c r="AR54" s="61" t="n"/>
      <c r="AS54" s="62">
        <f>IF(AR54="","",AR54*762.02)</f>
        <v/>
      </c>
      <c r="AT54" s="7">
        <f>IF(AR54="","",IF(AR54&lt;=$C$3,"SÌ (ENTRO 8€/MQ)","NO (SOPRA SOGLIA -&gt; PROPORRE DDS)"))</f>
        <v/>
      </c>
    </row>
    <row r="55" ht="24" customHeight="1">
      <c r="A55" s="7" t="n">
        <v>50</v>
      </c>
      <c r="B55" s="32" t="inlineStr">
        <is>
          <t>PC-A21-050</t>
        </is>
      </c>
      <c r="C55" s="8" t="inlineStr">
        <is>
          <t>Top 50 Aperta Campagna</t>
        </is>
      </c>
      <c r="D55" s="8" t="inlineStr">
        <is>
          <t>✅ Priorità 2 · Aperta Campagna Qualificata</t>
        </is>
      </c>
      <c r="E55" s="6" t="inlineStr">
        <is>
          <t>Rottofreno</t>
        </is>
      </c>
      <c r="F55" s="7" t="inlineStr">
        <is>
          <t>H593</t>
        </is>
      </c>
      <c r="G55" s="7" t="n">
        <v>13</v>
      </c>
      <c r="H55" s="7" t="n">
        <v>69</v>
      </c>
      <c r="I55" s="52" t="n">
        <v>5.42</v>
      </c>
      <c r="J55" s="52" t="n">
        <v>5.42</v>
      </c>
      <c r="K55" s="53">
        <f>I55*13.1230</f>
        <v/>
      </c>
      <c r="L55" s="53">
        <f>J55*13.1230</f>
        <v/>
      </c>
      <c r="M55" s="7" t="inlineStr">
        <is>
          <t>A21</t>
        </is>
      </c>
      <c r="N55" s="54" t="n">
        <v>12</v>
      </c>
      <c r="O55" s="54" t="n">
        <v>1735</v>
      </c>
      <c r="P55" s="7" t="n">
        <v>132</v>
      </c>
      <c r="Q55" s="8" t="inlineStr">
        <is>
          <t>Rottofreno (132 kV)</t>
        </is>
      </c>
      <c r="R55" s="55" t="n">
        <v>1.9</v>
      </c>
      <c r="S55" s="8" t="inlineStr">
        <is>
          <t>CP Rottofreno (AC001E01165)</t>
        </is>
      </c>
      <c r="T55" s="54" t="n">
        <v>1147</v>
      </c>
      <c r="U55" s="11" t="n">
        <v>119555</v>
      </c>
      <c r="V55" s="56" t="n">
        <v>4.52</v>
      </c>
      <c r="W55" s="56" t="n">
        <v>4.52</v>
      </c>
      <c r="X55" s="54" t="n">
        <v>7199</v>
      </c>
      <c r="Y55" s="10" t="n">
        <v>5.65</v>
      </c>
      <c r="Z55" s="12" t="n">
        <v>5.65</v>
      </c>
      <c r="AA55" s="14">
        <f>Z55*762.02</f>
        <v/>
      </c>
      <c r="AB55" s="13">
        <f>I55*10000*Z55</f>
        <v/>
      </c>
      <c r="AC55" s="7" t="inlineStr">
        <is>
          <t>5.40-6.80</t>
        </is>
      </c>
      <c r="AD55" s="7" t="inlineStr">
        <is>
          <t>75-105</t>
        </is>
      </c>
      <c r="AE55" s="20" t="n">
        <v>7.5</v>
      </c>
      <c r="AF55" s="22">
        <f>AE55*762.02</f>
        <v/>
      </c>
      <c r="AG55" s="21">
        <f>I55*10000*AE55</f>
        <v/>
      </c>
      <c r="AH55" s="21">
        <f>I55*10000*$C$3</f>
        <v/>
      </c>
      <c r="AI55" s="11">
        <f>I55*650</f>
        <v/>
      </c>
      <c r="AJ55" s="57">
        <f>I55*3000</f>
        <v/>
      </c>
      <c r="AK55" s="57">
        <f>AJ55*30</f>
        <v/>
      </c>
      <c r="AL55" s="58" t="n">
        <v>94.5</v>
      </c>
      <c r="AM55" s="59" t="n">
        <v>45.064446</v>
      </c>
      <c r="AN55" s="59" t="n">
        <v>9.558344</v>
      </c>
      <c r="AO55" s="60" t="inlineStr">
        <is>
          <t>Apri Google Maps</t>
        </is>
      </c>
      <c r="AP55" s="8" t="inlineStr">
        <is>
          <t>Seminativo aperto in fascia autostradale ≤300m D.Lgs. 199/2021</t>
        </is>
      </c>
      <c r="AQ55" s="47" t="n"/>
      <c r="AR55" s="61" t="n"/>
      <c r="AS55" s="62">
        <f>IF(AR55="","",AR55*762.02)</f>
        <v/>
      </c>
      <c r="AT55" s="7">
        <f>IF(AR55="","",IF(AR55&lt;=$C$3,"SÌ (ENTRO 8€/MQ)","NO (SOPRA SOGLIA -&gt; PROPORRE DDS)"))</f>
        <v/>
      </c>
    </row>
    <row r="56" ht="24" customHeight="1">
      <c r="A56" s="7" t="n">
        <v>51</v>
      </c>
      <c r="B56" s="32" t="inlineStr">
        <is>
          <t>PC-A1-051</t>
        </is>
      </c>
      <c r="C56" s="8" t="inlineStr">
        <is>
          <t>Top 50 Aperta Campagna</t>
        </is>
      </c>
      <c r="D56" s="8" t="inlineStr">
        <is>
          <t>🔥 Priorità 1 · Top Taglia / Rete AT Vicina</t>
        </is>
      </c>
      <c r="E56" s="6" t="inlineStr">
        <is>
          <t>Cadeo</t>
        </is>
      </c>
      <c r="F56" s="7" t="inlineStr">
        <is>
          <t>B332</t>
        </is>
      </c>
      <c r="G56" s="7" t="n">
        <v>18</v>
      </c>
      <c r="H56" s="7" t="n">
        <v>204</v>
      </c>
      <c r="I56" s="52" t="n">
        <v>8.210000000000001</v>
      </c>
      <c r="J56" s="52" t="n">
        <v>5.41</v>
      </c>
      <c r="K56" s="53">
        <f>I56*13.1230</f>
        <v/>
      </c>
      <c r="L56" s="53">
        <f>J56*13.1230</f>
        <v/>
      </c>
      <c r="M56" s="7" t="inlineStr">
        <is>
          <t>A1</t>
        </is>
      </c>
      <c r="N56" s="54" t="n">
        <v>57</v>
      </c>
      <c r="O56" s="54" t="n">
        <v>78</v>
      </c>
      <c r="P56" s="7" t="n">
        <v>132</v>
      </c>
      <c r="Q56" s="8" t="inlineStr">
        <is>
          <t>Cadeo FS (132 kV)</t>
        </is>
      </c>
      <c r="R56" s="55" t="n">
        <v>1.8</v>
      </c>
      <c r="S56" s="8" t="inlineStr">
        <is>
          <t>CP Cortemaggiore (AC001E01172)</t>
        </is>
      </c>
      <c r="T56" s="54" t="n">
        <v>2340</v>
      </c>
      <c r="U56" s="11" t="n">
        <v>197100</v>
      </c>
      <c r="V56" s="56" t="n">
        <v>6.84</v>
      </c>
      <c r="W56" s="56" t="n">
        <v>4.51</v>
      </c>
      <c r="X56" s="54" t="n">
        <v>10894</v>
      </c>
      <c r="Y56" s="10" t="n">
        <v>5.45</v>
      </c>
      <c r="Z56" s="12" t="n">
        <v>5.75</v>
      </c>
      <c r="AA56" s="14">
        <f>Z56*762.02</f>
        <v/>
      </c>
      <c r="AB56" s="13">
        <f>I56*10000*Z56</f>
        <v/>
      </c>
      <c r="AC56" s="7" t="inlineStr">
        <is>
          <t>5.60-7.15</t>
        </is>
      </c>
      <c r="AD56" s="7" t="inlineStr">
        <is>
          <t>70-95</t>
        </is>
      </c>
      <c r="AE56" s="20" t="n">
        <v>7.2</v>
      </c>
      <c r="AF56" s="22">
        <f>AE56*762.02</f>
        <v/>
      </c>
      <c r="AG56" s="21">
        <f>I56*10000*AE56</f>
        <v/>
      </c>
      <c r="AH56" s="21">
        <f>I56*10000*$C$3</f>
        <v/>
      </c>
      <c r="AI56" s="11">
        <f>I56*640</f>
        <v/>
      </c>
      <c r="AJ56" s="57">
        <f>I56*3000</f>
        <v/>
      </c>
      <c r="AK56" s="57">
        <f>AJ56*30</f>
        <v/>
      </c>
      <c r="AL56" s="58" t="n">
        <v>86.5</v>
      </c>
      <c r="AM56" s="59" t="n">
        <v>44.985103</v>
      </c>
      <c r="AN56" s="59" t="n">
        <v>9.859048</v>
      </c>
      <c r="AO56" s="60" t="inlineStr">
        <is>
          <t>Apri Google Maps</t>
        </is>
      </c>
      <c r="AP56" s="8" t="inlineStr">
        <is>
          <t>Linea AT 132 kV a ~78 m; 2,8 ha oltre i 300 m</t>
        </is>
      </c>
      <c r="AQ56" s="47" t="n"/>
      <c r="AR56" s="61" t="n"/>
      <c r="AS56" s="62">
        <f>IF(AR56="","",AR56*762.02)</f>
        <v/>
      </c>
      <c r="AT56" s="7">
        <f>IF(AR56="","",IF(AR56&lt;=$C$3,"SÌ (ENTRO 8€/MQ)","NO (SOPRA SOGLIA -&gt; PROPORRE DDS)"))</f>
        <v/>
      </c>
    </row>
    <row r="57" ht="24" customHeight="1">
      <c r="A57" s="7" t="n">
        <v>52</v>
      </c>
      <c r="B57" s="32" t="inlineStr">
        <is>
          <t>PC-A1-052</t>
        </is>
      </c>
      <c r="C57" s="8" t="inlineStr">
        <is>
          <t>Top 50 Aperta Campagna</t>
        </is>
      </c>
      <c r="D57" s="8" t="inlineStr">
        <is>
          <t>🔥 Priorità 1 · Top Taglia / Rete AT Vicina</t>
        </is>
      </c>
      <c r="E57" s="6" t="inlineStr">
        <is>
          <t>Pontenure</t>
        </is>
      </c>
      <c r="F57" s="7" t="inlineStr">
        <is>
          <t>G852</t>
        </is>
      </c>
      <c r="G57" s="7" t="n">
        <v>12</v>
      </c>
      <c r="H57" s="7" t="n">
        <v>580</v>
      </c>
      <c r="I57" s="52" t="n">
        <v>6.2</v>
      </c>
      <c r="J57" s="52" t="n">
        <v>5.39</v>
      </c>
      <c r="K57" s="53">
        <f>I57*13.1230</f>
        <v/>
      </c>
      <c r="L57" s="53">
        <f>J57*13.1230</f>
        <v/>
      </c>
      <c r="M57" s="7" t="inlineStr">
        <is>
          <t>A1</t>
        </is>
      </c>
      <c r="N57" s="54" t="n">
        <v>56</v>
      </c>
      <c r="O57" s="54" t="n">
        <v>127</v>
      </c>
      <c r="P57" s="7" t="n">
        <v>132</v>
      </c>
      <c r="Q57" s="8" t="inlineStr">
        <is>
          <t>(senza nome) (132 kV)</t>
        </is>
      </c>
      <c r="R57" s="55" t="n">
        <v>3.3</v>
      </c>
      <c r="S57" s="8" t="inlineStr">
        <is>
          <t>CP Pontenure (AC001E01166)</t>
        </is>
      </c>
      <c r="T57" s="54" t="n">
        <v>3461</v>
      </c>
      <c r="U57" s="11" t="n">
        <v>269965</v>
      </c>
      <c r="V57" s="56" t="n">
        <v>5.17</v>
      </c>
      <c r="W57" s="56" t="n">
        <v>4.49</v>
      </c>
      <c r="X57" s="54" t="n">
        <v>8234</v>
      </c>
      <c r="Y57" s="10" t="n">
        <v>5.85</v>
      </c>
      <c r="Z57" s="12" t="n">
        <v>6.1</v>
      </c>
      <c r="AA57" s="14">
        <f>Z57*762.02</f>
        <v/>
      </c>
      <c r="AB57" s="13">
        <f>I57*10000*Z57</f>
        <v/>
      </c>
      <c r="AC57" s="7" t="inlineStr">
        <is>
          <t>6.00-7.35</t>
        </is>
      </c>
      <c r="AD57" s="7" t="inlineStr">
        <is>
          <t>85-110</t>
        </is>
      </c>
      <c r="AE57" s="20" t="n">
        <v>7.65</v>
      </c>
      <c r="AF57" s="22">
        <f>AE57*762.02</f>
        <v/>
      </c>
      <c r="AG57" s="21">
        <f>I57*10000*AE57</f>
        <v/>
      </c>
      <c r="AH57" s="21">
        <f>I57*10000*$C$3</f>
        <v/>
      </c>
      <c r="AI57" s="11">
        <f>I57*680</f>
        <v/>
      </c>
      <c r="AJ57" s="57">
        <f>I57*3000</f>
        <v/>
      </c>
      <c r="AK57" s="57">
        <f>AJ57*30</f>
        <v/>
      </c>
      <c r="AL57" s="58" t="n">
        <v>81.5</v>
      </c>
      <c r="AM57" s="59" t="n">
        <v>45.006448</v>
      </c>
      <c r="AN57" s="59" t="n">
        <v>9.804460000000001</v>
      </c>
      <c r="AO57" s="60" t="inlineStr">
        <is>
          <t>Apri Google Maps</t>
        </is>
      </c>
      <c r="AP57" s="8" t="inlineStr">
        <is>
          <t>Linea AT 132 kV a ~127 m; Area dismessa a ~254 m: verificare la destinazione urbanistica; 0,8 ha oltre i 300 m</t>
        </is>
      </c>
      <c r="AQ57" s="47" t="n"/>
      <c r="AR57" s="61" t="n"/>
      <c r="AS57" s="62">
        <f>IF(AR57="","",AR57*762.02)</f>
        <v/>
      </c>
      <c r="AT57" s="7">
        <f>IF(AR57="","",IF(AR57&lt;=$C$3,"SÌ (ENTRO 8€/MQ)","NO (SOPRA SOGLIA -&gt; PROPORRE DDS)"))</f>
        <v/>
      </c>
    </row>
    <row r="58" ht="24" customHeight="1">
      <c r="A58" s="7" t="n">
        <v>53</v>
      </c>
      <c r="B58" s="32" t="inlineStr">
        <is>
          <t>PC-A21-053</t>
        </is>
      </c>
      <c r="C58" s="8" t="inlineStr">
        <is>
          <t>Top 50 Aperta Campagna</t>
        </is>
      </c>
      <c r="D58" s="8" t="inlineStr">
        <is>
          <t>✅ Priorità 2 · Aperta Campagna Qualificata</t>
        </is>
      </c>
      <c r="E58" s="6" t="inlineStr">
        <is>
          <t>Calendasco</t>
        </is>
      </c>
      <c r="F58" s="7" t="inlineStr">
        <is>
          <t>B405</t>
        </is>
      </c>
      <c r="G58" s="7" t="n">
        <v>30</v>
      </c>
      <c r="H58" s="7" t="n">
        <v>30</v>
      </c>
      <c r="I58" s="52" t="n">
        <v>5.37</v>
      </c>
      <c r="J58" s="52" t="n">
        <v>5.37</v>
      </c>
      <c r="K58" s="53">
        <f>I58*13.1230</f>
        <v/>
      </c>
      <c r="L58" s="53">
        <f>J58*13.1230</f>
        <v/>
      </c>
      <c r="M58" s="7" t="inlineStr">
        <is>
          <t>A21</t>
        </is>
      </c>
      <c r="N58" s="54" t="n">
        <v>10</v>
      </c>
      <c r="O58" s="54" t="n">
        <v>676</v>
      </c>
      <c r="P58" s="7" t="n">
        <v>132</v>
      </c>
      <c r="Q58" s="8" t="inlineStr">
        <is>
          <t>Rottofreno (132 kV)</t>
        </is>
      </c>
      <c r="R58" s="55" t="n">
        <v>1.6</v>
      </c>
      <c r="S58" s="8" t="inlineStr">
        <is>
          <t>CP Rottofreno (AC001E01165)</t>
        </is>
      </c>
      <c r="T58" s="54" t="n">
        <v>2080</v>
      </c>
      <c r="U58" s="11" t="n">
        <v>180200</v>
      </c>
      <c r="V58" s="56" t="n">
        <v>4.48</v>
      </c>
      <c r="W58" s="56" t="n">
        <v>4.48</v>
      </c>
      <c r="X58" s="54" t="n">
        <v>7135</v>
      </c>
      <c r="Y58" s="10" t="n">
        <v>5.65</v>
      </c>
      <c r="Z58" s="12" t="n">
        <v>5.4</v>
      </c>
      <c r="AA58" s="14">
        <f>Z58*762.02</f>
        <v/>
      </c>
      <c r="AB58" s="13">
        <f>I58*10000*Z58</f>
        <v/>
      </c>
      <c r="AC58" s="7" t="inlineStr">
        <is>
          <t>5.20-6.40</t>
        </is>
      </c>
      <c r="AD58" s="7" t="inlineStr">
        <is>
          <t>65-90</t>
        </is>
      </c>
      <c r="AE58" s="20" t="n">
        <v>7.25</v>
      </c>
      <c r="AF58" s="22">
        <f>AE58*762.02</f>
        <v/>
      </c>
      <c r="AG58" s="21">
        <f>I58*10000*AE58</f>
        <v/>
      </c>
      <c r="AH58" s="21">
        <f>I58*10000*$C$3</f>
        <v/>
      </c>
      <c r="AI58" s="11">
        <f>I58*610</f>
        <v/>
      </c>
      <c r="AJ58" s="57">
        <f>I58*3000</f>
        <v/>
      </c>
      <c r="AK58" s="57">
        <f>AJ58*30</f>
        <v/>
      </c>
      <c r="AL58" s="58" t="n">
        <v>84</v>
      </c>
      <c r="AM58" s="59" t="n">
        <v>45.065028</v>
      </c>
      <c r="AN58" s="59" t="n">
        <v>9.590605</v>
      </c>
      <c r="AO58" s="60" t="inlineStr">
        <is>
          <t>Apri Google Maps</t>
        </is>
      </c>
      <c r="AP58" s="8" t="inlineStr">
        <is>
          <t>Area produttiva a ~347 m: verificare la destinazione urbanistica</t>
        </is>
      </c>
      <c r="AQ58" s="47" t="n"/>
      <c r="AR58" s="61" t="n"/>
      <c r="AS58" s="62">
        <f>IF(AR58="","",AR58*762.02)</f>
        <v/>
      </c>
      <c r="AT58" s="7">
        <f>IF(AR58="","",IF(AR58&lt;=$C$3,"SÌ (ENTRO 8€/MQ)","NO (SOPRA SOGLIA -&gt; PROPORRE DDS)"))</f>
        <v/>
      </c>
    </row>
    <row r="59" ht="24" customHeight="1">
      <c r="A59" s="7" t="n">
        <v>54</v>
      </c>
      <c r="B59" s="32" t="inlineStr">
        <is>
          <t>PC-A1-054</t>
        </is>
      </c>
      <c r="C59" s="8" t="inlineStr">
        <is>
          <t>Top 50 Aperta Campagna</t>
        </is>
      </c>
      <c r="D59" s="8" t="inlineStr">
        <is>
          <t>✅ Priorità 2 · Aperta Campagna Qualificata</t>
        </is>
      </c>
      <c r="E59" s="6" t="inlineStr">
        <is>
          <t>Cadeo</t>
        </is>
      </c>
      <c r="F59" s="7" t="inlineStr">
        <is>
          <t>B332</t>
        </is>
      </c>
      <c r="G59" s="7" t="n">
        <v>9</v>
      </c>
      <c r="H59" s="7" t="n">
        <v>242</v>
      </c>
      <c r="I59" s="52" t="n">
        <v>11.07</v>
      </c>
      <c r="J59" s="52" t="n">
        <v>5.35</v>
      </c>
      <c r="K59" s="53">
        <f>I59*13.1230</f>
        <v/>
      </c>
      <c r="L59" s="53">
        <f>J59*13.1230</f>
        <v/>
      </c>
      <c r="M59" s="7" t="inlineStr">
        <is>
          <t>A1</t>
        </is>
      </c>
      <c r="N59" s="54" t="n">
        <v>96</v>
      </c>
      <c r="O59" s="54" t="n">
        <v>278</v>
      </c>
      <c r="P59" s="7" t="n">
        <v>132</v>
      </c>
      <c r="Q59" s="8" t="inlineStr">
        <is>
          <t>Cadeo FS (132 kV)</t>
        </is>
      </c>
      <c r="R59" s="55" t="n">
        <v>2.2</v>
      </c>
      <c r="S59" s="8" t="inlineStr">
        <is>
          <t>CP Pontenure 132/15 kV</t>
        </is>
      </c>
      <c r="T59" s="54" t="n">
        <v>2860</v>
      </c>
      <c r="U59" s="11" t="n">
        <v>230900</v>
      </c>
      <c r="V59" s="56" t="n">
        <v>9.23</v>
      </c>
      <c r="W59" s="56" t="n">
        <v>4.46</v>
      </c>
      <c r="X59" s="54" t="n">
        <v>14701</v>
      </c>
      <c r="Y59" s="10" t="n">
        <v>5.45</v>
      </c>
      <c r="Z59" s="12" t="n">
        <v>5.75</v>
      </c>
      <c r="AA59" s="14">
        <f>Z59*762.02</f>
        <v/>
      </c>
      <c r="AB59" s="13">
        <f>I59*10000*Z59</f>
        <v/>
      </c>
      <c r="AC59" s="7" t="inlineStr">
        <is>
          <t>5.60-7.15</t>
        </is>
      </c>
      <c r="AD59" s="7" t="inlineStr">
        <is>
          <t>70-95</t>
        </is>
      </c>
      <c r="AE59" s="20" t="n">
        <v>7.2</v>
      </c>
      <c r="AF59" s="22">
        <f>AE59*762.02</f>
        <v/>
      </c>
      <c r="AG59" s="21">
        <f>I59*10000*AE59</f>
        <v/>
      </c>
      <c r="AH59" s="21">
        <f>I59*10000*$C$3</f>
        <v/>
      </c>
      <c r="AI59" s="11">
        <f>I59*640</f>
        <v/>
      </c>
      <c r="AJ59" s="57">
        <f>I59*3000</f>
        <v/>
      </c>
      <c r="AK59" s="57">
        <f>AJ59*30</f>
        <v/>
      </c>
      <c r="AL59" s="58" t="n">
        <v>84.5</v>
      </c>
      <c r="AM59" s="59" t="n">
        <v>44.987516</v>
      </c>
      <c r="AN59" s="59" t="n">
        <v>9.838506000000001</v>
      </c>
      <c r="AO59" s="60" t="inlineStr">
        <is>
          <t>Apri Google Maps</t>
        </is>
      </c>
      <c r="AP59" s="8" t="inlineStr">
        <is>
          <t>Linea AT 132 kV a ~278 m; 5,7 ha oltre i 300 m</t>
        </is>
      </c>
      <c r="AQ59" s="47" t="n"/>
      <c r="AR59" s="61" t="n"/>
      <c r="AS59" s="62">
        <f>IF(AR59="","",AR59*762.02)</f>
        <v/>
      </c>
      <c r="AT59" s="7">
        <f>IF(AR59="","",IF(AR59&lt;=$C$3,"SÌ (ENTRO 8€/MQ)","NO (SOPRA SOGLIA -&gt; PROPORRE DDS)"))</f>
        <v/>
      </c>
    </row>
    <row r="60" ht="24" customHeight="1">
      <c r="A60" s="7" t="n">
        <v>55</v>
      </c>
      <c r="B60" s="32" t="inlineStr">
        <is>
          <t>PC-A1-055</t>
        </is>
      </c>
      <c r="C60" s="8" t="inlineStr">
        <is>
          <t>Estensione WMS AdE (Griglia Sfalsata)</t>
        </is>
      </c>
      <c r="D60" s="8" t="inlineStr">
        <is>
          <t>🔥 Priorità 1 · Top Taglia / Rete AT Vicina</t>
        </is>
      </c>
      <c r="E60" s="6" t="inlineStr">
        <is>
          <t>Cadeo</t>
        </is>
      </c>
      <c r="F60" s="7" t="inlineStr">
        <is>
          <t>B332</t>
        </is>
      </c>
      <c r="G60" s="7" t="n">
        <v>18</v>
      </c>
      <c r="H60" s="7" t="n">
        <v>186</v>
      </c>
      <c r="I60" s="52" t="n">
        <v>5.34</v>
      </c>
      <c r="J60" s="52" t="n">
        <v>5.34</v>
      </c>
      <c r="K60" s="53">
        <f>I60*13.1230</f>
        <v/>
      </c>
      <c r="L60" s="53">
        <f>J60*13.1230</f>
        <v/>
      </c>
      <c r="M60" s="7" t="inlineStr">
        <is>
          <t>A1</t>
        </is>
      </c>
      <c r="N60" s="54" t="n">
        <v>69</v>
      </c>
      <c r="O60" s="54" t="n">
        <v>44</v>
      </c>
      <c r="P60" s="7" t="n">
        <v>132</v>
      </c>
      <c r="Q60" s="8" t="inlineStr">
        <is>
          <t>Cadeo FS (132 kV)</t>
        </is>
      </c>
      <c r="R60" s="55" t="n">
        <v>1.8</v>
      </c>
      <c r="S60" s="8" t="inlineStr">
        <is>
          <t>CP Cortemaggiore (AC001E01172)</t>
        </is>
      </c>
      <c r="T60" s="54" t="n">
        <v>2340</v>
      </c>
      <c r="U60" s="11" t="n">
        <v>197100</v>
      </c>
      <c r="V60" s="56" t="n">
        <v>4.45</v>
      </c>
      <c r="W60" s="56" t="n">
        <v>4.45</v>
      </c>
      <c r="X60" s="54" t="n">
        <v>7088</v>
      </c>
      <c r="Y60" s="10" t="n">
        <v>5.45</v>
      </c>
      <c r="Z60" s="12" t="n">
        <v>5.75</v>
      </c>
      <c r="AA60" s="14">
        <f>Z60*762.02</f>
        <v/>
      </c>
      <c r="AB60" s="13">
        <f>I60*10000*Z60</f>
        <v/>
      </c>
      <c r="AC60" s="7" t="inlineStr">
        <is>
          <t>5.60-7.15</t>
        </is>
      </c>
      <c r="AD60" s="7" t="inlineStr">
        <is>
          <t>70-95</t>
        </is>
      </c>
      <c r="AE60" s="20" t="n">
        <v>7.2</v>
      </c>
      <c r="AF60" s="22">
        <f>AE60*762.02</f>
        <v/>
      </c>
      <c r="AG60" s="21">
        <f>I60*10000*AE60</f>
        <v/>
      </c>
      <c r="AH60" s="21">
        <f>I60*10000*$C$3</f>
        <v/>
      </c>
      <c r="AI60" s="11">
        <f>I60*640</f>
        <v/>
      </c>
      <c r="AJ60" s="57">
        <f>I60*3000</f>
        <v/>
      </c>
      <c r="AK60" s="57">
        <f>AJ60*30</f>
        <v/>
      </c>
      <c r="AL60" s="58" t="n">
        <v>86.5</v>
      </c>
      <c r="AM60" s="59" t="n">
        <v>44.981234</v>
      </c>
      <c r="AN60" s="59" t="n">
        <v>9.865690000000001</v>
      </c>
      <c r="AO60" s="60" t="inlineStr">
        <is>
          <t>Apri Google Maps</t>
        </is>
      </c>
      <c r="AP60" s="8" t="inlineStr">
        <is>
          <t>Linea AT 132 kV a ~44 m; Stazione elettrica Cadeo FS a ~1,8 km</t>
        </is>
      </c>
      <c r="AQ60" s="47" t="n"/>
      <c r="AR60" s="61" t="n"/>
      <c r="AS60" s="62">
        <f>IF(AR60="","",AR60*762.02)</f>
        <v/>
      </c>
      <c r="AT60" s="7">
        <f>IF(AR60="","",IF(AR60&lt;=$C$3,"SÌ (ENTRO 8€/MQ)","NO (SOPRA SOGLIA -&gt; PROPORRE DDS)"))</f>
        <v/>
      </c>
    </row>
    <row r="61" ht="24" customHeight="1">
      <c r="A61" s="7" t="n">
        <v>56</v>
      </c>
      <c r="B61" s="32" t="inlineStr">
        <is>
          <t>PC-A1-056</t>
        </is>
      </c>
      <c r="C61" s="8" t="inlineStr">
        <is>
          <t>Estensione WMS AdE (Griglia Sfalsata)</t>
        </is>
      </c>
      <c r="D61" s="8" t="inlineStr">
        <is>
          <t>✅ Priorità 2 · Aperta Campagna Qualificata</t>
        </is>
      </c>
      <c r="E61" s="6" t="inlineStr">
        <is>
          <t>Fiorenzuola d'Arda</t>
        </is>
      </c>
      <c r="F61" s="7" t="inlineStr">
        <is>
          <t>D611</t>
        </is>
      </c>
      <c r="G61" s="7" t="n">
        <v>9</v>
      </c>
      <c r="H61" s="7" t="n">
        <v>13</v>
      </c>
      <c r="I61" s="52" t="n">
        <v>5.32</v>
      </c>
      <c r="J61" s="52" t="n">
        <v>5.32</v>
      </c>
      <c r="K61" s="53">
        <f>I61*13.1230</f>
        <v/>
      </c>
      <c r="L61" s="53">
        <f>J61*13.1230</f>
        <v/>
      </c>
      <c r="M61" s="7" t="inlineStr">
        <is>
          <t>A1</t>
        </is>
      </c>
      <c r="N61" s="54" t="n">
        <v>12</v>
      </c>
      <c r="O61" s="54" t="n">
        <v>320</v>
      </c>
      <c r="P61" s="7" t="n">
        <v>132</v>
      </c>
      <c r="Q61" s="8" t="inlineStr">
        <is>
          <t>Fiorenzuola AV (132 kV)</t>
        </is>
      </c>
      <c r="R61" s="55" t="n">
        <v>1.6</v>
      </c>
      <c r="S61" s="8" t="inlineStr">
        <is>
          <t>CP Fiorenzuola d'Arda (AC001E01230)</t>
        </is>
      </c>
      <c r="T61" s="54" t="n">
        <v>2080</v>
      </c>
      <c r="U61" s="11" t="n">
        <v>180200</v>
      </c>
      <c r="V61" s="56" t="n">
        <v>4.43</v>
      </c>
      <c r="W61" s="56" t="n">
        <v>4.43</v>
      </c>
      <c r="X61" s="54" t="n">
        <v>7056</v>
      </c>
      <c r="Y61" s="10" t="n">
        <v>5.45</v>
      </c>
      <c r="Z61" s="12" t="n">
        <v>5.6</v>
      </c>
      <c r="AA61" s="14">
        <f>Z61*762.02</f>
        <v/>
      </c>
      <c r="AB61" s="13">
        <f>I61*10000*Z61</f>
        <v/>
      </c>
      <c r="AC61" s="7" t="inlineStr">
        <is>
          <t>5.50-6.80</t>
        </is>
      </c>
      <c r="AD61" s="7" t="inlineStr">
        <is>
          <t>80-116</t>
        </is>
      </c>
      <c r="AE61" s="20" t="n">
        <v>7.3</v>
      </c>
      <c r="AF61" s="22">
        <f>AE61*762.02</f>
        <v/>
      </c>
      <c r="AG61" s="21">
        <f>I61*10000*AE61</f>
        <v/>
      </c>
      <c r="AH61" s="21">
        <f>I61*10000*$C$3</f>
        <v/>
      </c>
      <c r="AI61" s="11">
        <f>I61*630</f>
        <v/>
      </c>
      <c r="AJ61" s="57">
        <f>I61*3000</f>
        <v/>
      </c>
      <c r="AK61" s="57">
        <f>AJ61*30</f>
        <v/>
      </c>
      <c r="AL61" s="58" t="n">
        <v>84</v>
      </c>
      <c r="AM61" s="59" t="n">
        <v>44.961426</v>
      </c>
      <c r="AN61" s="59" t="n">
        <v>9.906014000000001</v>
      </c>
      <c r="AO61" s="60" t="inlineStr">
        <is>
          <t>Apri Google Maps</t>
        </is>
      </c>
      <c r="AP61" s="8" t="inlineStr">
        <is>
          <t>Stazione elettrica Fiorenzuola AV a ~1,6 km</t>
        </is>
      </c>
      <c r="AQ61" s="47" t="n"/>
      <c r="AR61" s="61" t="n"/>
      <c r="AS61" s="62">
        <f>IF(AR61="","",AR61*762.02)</f>
        <v/>
      </c>
      <c r="AT61" s="7">
        <f>IF(AR61="","",IF(AR61&lt;=$C$3,"SÌ (ENTRO 8€/MQ)","NO (SOPRA SOGLIA -&gt; PROPORRE DDS)"))</f>
        <v/>
      </c>
    </row>
    <row r="62" ht="24" customHeight="1">
      <c r="A62" s="7" t="n">
        <v>57</v>
      </c>
      <c r="B62" s="32" t="inlineStr">
        <is>
          <t>PC-A1-057</t>
        </is>
      </c>
      <c r="C62" s="8" t="inlineStr">
        <is>
          <t>Top 50 Aperta Campagna</t>
        </is>
      </c>
      <c r="D62" s="8" t="inlineStr">
        <is>
          <t>🔥 Priorità 1 · Top Taglia / Rete AT Vicina</t>
        </is>
      </c>
      <c r="E62" s="6" t="inlineStr">
        <is>
          <t>Pontenure</t>
        </is>
      </c>
      <c r="F62" s="7" t="inlineStr">
        <is>
          <t>G852</t>
        </is>
      </c>
      <c r="G62" s="7" t="n">
        <v>13</v>
      </c>
      <c r="H62" s="7" t="n">
        <v>15</v>
      </c>
      <c r="I62" s="52" t="n">
        <v>6.18</v>
      </c>
      <c r="J62" s="52" t="n">
        <v>5.31</v>
      </c>
      <c r="K62" s="53">
        <f>I62*13.1230</f>
        <v/>
      </c>
      <c r="L62" s="53">
        <f>J62*13.1230</f>
        <v/>
      </c>
      <c r="M62" s="7" t="inlineStr">
        <is>
          <t>A1</t>
        </is>
      </c>
      <c r="N62" s="54" t="n">
        <v>58</v>
      </c>
      <c r="O62" s="54" t="n">
        <v>150</v>
      </c>
      <c r="P62" s="7" t="n">
        <v>132</v>
      </c>
      <c r="Q62" s="8" t="inlineStr">
        <is>
          <t>(senza nome) (132 kV)</t>
        </is>
      </c>
      <c r="R62" s="55" t="n">
        <v>4.1</v>
      </c>
      <c r="S62" s="8" t="inlineStr">
        <is>
          <t>CP Pontenure 132/15 kV</t>
        </is>
      </c>
      <c r="T62" s="54" t="n">
        <v>4416</v>
      </c>
      <c r="U62" s="11" t="n">
        <v>332040</v>
      </c>
      <c r="V62" s="56" t="n">
        <v>5.15</v>
      </c>
      <c r="W62" s="56" t="n">
        <v>4.42</v>
      </c>
      <c r="X62" s="54" t="n">
        <v>8202</v>
      </c>
      <c r="Y62" s="10" t="n">
        <v>5.85</v>
      </c>
      <c r="Z62" s="12" t="n">
        <v>6.1</v>
      </c>
      <c r="AA62" s="14">
        <f>Z62*762.02</f>
        <v/>
      </c>
      <c r="AB62" s="13">
        <f>I62*10000*Z62</f>
        <v/>
      </c>
      <c r="AC62" s="7" t="inlineStr">
        <is>
          <t>6.00-7.35</t>
        </is>
      </c>
      <c r="AD62" s="7" t="inlineStr">
        <is>
          <t>85-110</t>
        </is>
      </c>
      <c r="AE62" s="20" t="n">
        <v>7.65</v>
      </c>
      <c r="AF62" s="22">
        <f>AE62*762.02</f>
        <v/>
      </c>
      <c r="AG62" s="21">
        <f>I62*10000*AE62</f>
        <v/>
      </c>
      <c r="AH62" s="21">
        <f>I62*10000*$C$3</f>
        <v/>
      </c>
      <c r="AI62" s="11">
        <f>I62*680</f>
        <v/>
      </c>
      <c r="AJ62" s="57">
        <f>I62*3000</f>
        <v/>
      </c>
      <c r="AK62" s="57">
        <f>AJ62*30</f>
        <v/>
      </c>
      <c r="AL62" s="58" t="n">
        <v>81.5</v>
      </c>
      <c r="AM62" s="59" t="n">
        <v>45.002674</v>
      </c>
      <c r="AN62" s="59" t="n">
        <v>9.813984</v>
      </c>
      <c r="AO62" s="60" t="inlineStr">
        <is>
          <t>Apri Google Maps</t>
        </is>
      </c>
      <c r="AP62" s="8" t="inlineStr">
        <is>
          <t>Linea AT 132 kV a ~150 m; 0,9 ha oltre i 300 m</t>
        </is>
      </c>
      <c r="AQ62" s="47" t="n"/>
      <c r="AR62" s="61" t="n"/>
      <c r="AS62" s="62">
        <f>IF(AR62="","",AR62*762.02)</f>
        <v/>
      </c>
      <c r="AT62" s="7">
        <f>IF(AR62="","",IF(AR62&lt;=$C$3,"SÌ (ENTRO 8€/MQ)","NO (SOPRA SOGLIA -&gt; PROPORRE DDS)"))</f>
        <v/>
      </c>
    </row>
    <row r="63" ht="24" customHeight="1">
      <c r="A63" s="7" t="n">
        <v>58</v>
      </c>
      <c r="B63" s="32" t="inlineStr">
        <is>
          <t>PC-A21-058</t>
        </is>
      </c>
      <c r="C63" s="8" t="inlineStr">
        <is>
          <t>Top 50 Aperta Campagna</t>
        </is>
      </c>
      <c r="D63" s="8" t="inlineStr">
        <is>
          <t>✅ Priorità 2 · Aperta Campagna Qualificata</t>
        </is>
      </c>
      <c r="E63" s="6" t="inlineStr">
        <is>
          <t>Castelvetro Piacentino</t>
        </is>
      </c>
      <c r="F63" s="7" t="inlineStr">
        <is>
          <t>C288</t>
        </is>
      </c>
      <c r="G63" s="7" t="n">
        <v>24</v>
      </c>
      <c r="H63" s="7" t="n">
        <v>75</v>
      </c>
      <c r="I63" s="52" t="n">
        <v>5.16</v>
      </c>
      <c r="J63" s="52" t="n">
        <v>5.16</v>
      </c>
      <c r="K63" s="53">
        <f>I63*13.1230</f>
        <v/>
      </c>
      <c r="L63" s="53">
        <f>J63*13.1230</f>
        <v/>
      </c>
      <c r="M63" s="7" t="inlineStr">
        <is>
          <t>A21</t>
        </is>
      </c>
      <c r="N63" s="54" t="n">
        <v>18</v>
      </c>
      <c r="O63" s="54" t="n">
        <v>992</v>
      </c>
      <c r="P63" s="7" t="n">
        <v>380</v>
      </c>
      <c r="Q63" s="8" t="inlineStr">
        <is>
          <t>Monticelli Ferrovia (132 kV)</t>
        </is>
      </c>
      <c r="R63" s="55" t="n">
        <v>3.2</v>
      </c>
      <c r="S63" s="8" t="inlineStr">
        <is>
          <t>CP Monticelli d'Ongina (AC001E01173)</t>
        </is>
      </c>
      <c r="T63" s="54" t="n">
        <v>4160</v>
      </c>
      <c r="U63" s="11" t="n">
        <v>315400</v>
      </c>
      <c r="V63" s="56" t="n">
        <v>4.3</v>
      </c>
      <c r="W63" s="56" t="n">
        <v>4.3</v>
      </c>
      <c r="X63" s="54" t="n">
        <v>6849</v>
      </c>
      <c r="Y63" s="10" t="n">
        <v>5.5</v>
      </c>
      <c r="Z63" s="12" t="n">
        <v>5.3</v>
      </c>
      <c r="AA63" s="14">
        <f>Z63*762.02</f>
        <v/>
      </c>
      <c r="AB63" s="13">
        <f>I63*10000*Z63</f>
        <v/>
      </c>
      <c r="AC63" s="7" t="inlineStr">
        <is>
          <t>5.10-6.30</t>
        </is>
      </c>
      <c r="AD63" s="7" t="inlineStr">
        <is>
          <t>60-85</t>
        </is>
      </c>
      <c r="AE63" s="20" t="n">
        <v>7.15</v>
      </c>
      <c r="AF63" s="22">
        <f>AE63*762.02</f>
        <v/>
      </c>
      <c r="AG63" s="21">
        <f>I63*10000*AE63</f>
        <v/>
      </c>
      <c r="AH63" s="21">
        <f>I63*10000*$C$3</f>
        <v/>
      </c>
      <c r="AI63" s="11">
        <f>I63*600</f>
        <v/>
      </c>
      <c r="AJ63" s="57">
        <f>I63*3000</f>
        <v/>
      </c>
      <c r="AK63" s="57">
        <f>AJ63*30</f>
        <v/>
      </c>
      <c r="AL63" s="58" t="n">
        <v>79</v>
      </c>
      <c r="AM63" s="59" t="n">
        <v>45.067571</v>
      </c>
      <c r="AN63" s="59" t="n">
        <v>9.95946</v>
      </c>
      <c r="AO63" s="60" t="inlineStr">
        <is>
          <t>Apri Google Maps</t>
        </is>
      </c>
      <c r="AP63" s="8" t="inlineStr">
        <is>
          <t>Seminativo aperto in fascia autostradale ≤300m D.Lgs. 199/2021</t>
        </is>
      </c>
      <c r="AQ63" s="47" t="n"/>
      <c r="AR63" s="61" t="n"/>
      <c r="AS63" s="62">
        <f>IF(AR63="","",AR63*762.02)</f>
        <v/>
      </c>
      <c r="AT63" s="7">
        <f>IF(AR63="","",IF(AR63&lt;=$C$3,"SÌ (ENTRO 8€/MQ)","NO (SOPRA SOGLIA -&gt; PROPORRE DDS)"))</f>
        <v/>
      </c>
    </row>
    <row r="64" ht="24" customHeight="1">
      <c r="A64" s="7" t="n">
        <v>59</v>
      </c>
      <c r="B64" s="32" t="inlineStr">
        <is>
          <t>PC-A1-059</t>
        </is>
      </c>
      <c r="C64" s="8" t="inlineStr">
        <is>
          <t>Top 50 Aperta Campagna</t>
        </is>
      </c>
      <c r="D64" s="8" t="inlineStr">
        <is>
          <t>🔥 Priorità 1 · Top Taglia / Rete AT Vicina</t>
        </is>
      </c>
      <c r="E64" s="6" t="inlineStr">
        <is>
          <t>Cadeo</t>
        </is>
      </c>
      <c r="F64" s="7" t="inlineStr">
        <is>
          <t>B332</t>
        </is>
      </c>
      <c r="G64" s="7" t="n">
        <v>9</v>
      </c>
      <c r="H64" s="7" t="n">
        <v>240</v>
      </c>
      <c r="I64" s="52" t="n">
        <v>5.14</v>
      </c>
      <c r="J64" s="52" t="n">
        <v>5.14</v>
      </c>
      <c r="K64" s="53">
        <f>I64*13.1230</f>
        <v/>
      </c>
      <c r="L64" s="53">
        <f>J64*13.1230</f>
        <v/>
      </c>
      <c r="M64" s="7" t="inlineStr">
        <is>
          <t>A1</t>
        </is>
      </c>
      <c r="N64" s="54" t="n">
        <v>62</v>
      </c>
      <c r="O64" s="54" t="n">
        <v>12</v>
      </c>
      <c r="P64" s="7" t="n">
        <v>380</v>
      </c>
      <c r="Q64" s="8" t="inlineStr">
        <is>
          <t>Cadeo FS (132 kV)</t>
        </is>
      </c>
      <c r="R64" s="55" t="n">
        <v>2.3</v>
      </c>
      <c r="S64" s="8" t="inlineStr">
        <is>
          <t>CP Pontenure 132/15 kV</t>
        </is>
      </c>
      <c r="T64" s="54" t="n">
        <v>2990</v>
      </c>
      <c r="U64" s="11" t="n">
        <v>239350</v>
      </c>
      <c r="V64" s="56" t="n">
        <v>4.28</v>
      </c>
      <c r="W64" s="56" t="n">
        <v>4.28</v>
      </c>
      <c r="X64" s="54" t="n">
        <v>6817</v>
      </c>
      <c r="Y64" s="10" t="n">
        <v>5.45</v>
      </c>
      <c r="Z64" s="12" t="n">
        <v>5.75</v>
      </c>
      <c r="AA64" s="14">
        <f>Z64*762.02</f>
        <v/>
      </c>
      <c r="AB64" s="13">
        <f>I64*10000*Z64</f>
        <v/>
      </c>
      <c r="AC64" s="7" t="inlineStr">
        <is>
          <t>5.60-7.15</t>
        </is>
      </c>
      <c r="AD64" s="7" t="inlineStr">
        <is>
          <t>70-95</t>
        </is>
      </c>
      <c r="AE64" s="20" t="n">
        <v>7.2</v>
      </c>
      <c r="AF64" s="22">
        <f>AE64*762.02</f>
        <v/>
      </c>
      <c r="AG64" s="21">
        <f>I64*10000*AE64</f>
        <v/>
      </c>
      <c r="AH64" s="21">
        <f>I64*10000*$C$3</f>
        <v/>
      </c>
      <c r="AI64" s="11">
        <f>I64*640</f>
        <v/>
      </c>
      <c r="AJ64" s="57">
        <f>I64*3000</f>
        <v/>
      </c>
      <c r="AK64" s="57">
        <f>AJ64*30</f>
        <v/>
      </c>
      <c r="AL64" s="58" t="n">
        <v>86.5</v>
      </c>
      <c r="AM64" s="59" t="n">
        <v>44.989923</v>
      </c>
      <c r="AN64" s="59" t="n">
        <v>9.84549</v>
      </c>
      <c r="AO64" s="60" t="inlineStr">
        <is>
          <t>Apri Google Maps</t>
        </is>
      </c>
      <c r="AP64" s="8" t="inlineStr">
        <is>
          <t>Linea AT 380 kV sul fondo o al confine: condiziona il layout, ma la rete è vicina</t>
        </is>
      </c>
      <c r="AQ64" s="47" t="n"/>
      <c r="AR64" s="61" t="n"/>
      <c r="AS64" s="62">
        <f>IF(AR64="","",AR64*762.02)</f>
        <v/>
      </c>
      <c r="AT64" s="7">
        <f>IF(AR64="","",IF(AR64&lt;=$C$3,"SÌ (ENTRO 8€/MQ)","NO (SOPRA SOGLIA -&gt; PROPORRE DDS)"))</f>
        <v/>
      </c>
    </row>
    <row r="65" ht="24" customHeight="1">
      <c r="A65" s="7" t="n">
        <v>60</v>
      </c>
      <c r="B65" s="32" t="inlineStr">
        <is>
          <t>PC-A1-060</t>
        </is>
      </c>
      <c r="C65" s="8" t="inlineStr">
        <is>
          <t>Top 50 Aperta Campagna</t>
        </is>
      </c>
      <c r="D65" s="8" t="inlineStr">
        <is>
          <t>✅ Priorità 2 · Aperta Campagna Qualificata</t>
        </is>
      </c>
      <c r="E65" s="6" t="inlineStr">
        <is>
          <t>Fiorenzuola d'Arda</t>
        </is>
      </c>
      <c r="F65" s="7" t="inlineStr">
        <is>
          <t>D611</t>
        </is>
      </c>
      <c r="G65" s="7" t="n">
        <v>16</v>
      </c>
      <c r="H65" s="7" t="n">
        <v>28</v>
      </c>
      <c r="I65" s="52" t="n">
        <v>5.04</v>
      </c>
      <c r="J65" s="52" t="n">
        <v>5.04</v>
      </c>
      <c r="K65" s="53">
        <f>I65*13.1230</f>
        <v/>
      </c>
      <c r="L65" s="53">
        <f>J65*13.1230</f>
        <v/>
      </c>
      <c r="M65" s="7" t="inlineStr">
        <is>
          <t>A1</t>
        </is>
      </c>
      <c r="N65" s="54" t="n">
        <v>23</v>
      </c>
      <c r="O65" s="54" t="n">
        <v>303</v>
      </c>
      <c r="P65" s="7" t="n">
        <v>132</v>
      </c>
      <c r="Q65" s="8" t="inlineStr">
        <is>
          <t>Fiorenzuola (132 kV)</t>
        </is>
      </c>
      <c r="R65" s="55" t="n">
        <v>3.1</v>
      </c>
      <c r="S65" s="8" t="inlineStr">
        <is>
          <t>CP Fiorenzuola d'Arda (AC001E01230)</t>
        </is>
      </c>
      <c r="T65" s="54" t="n">
        <v>4030</v>
      </c>
      <c r="U65" s="11" t="n">
        <v>306950</v>
      </c>
      <c r="V65" s="56" t="n">
        <v>4.2</v>
      </c>
      <c r="W65" s="56" t="n">
        <v>4.2</v>
      </c>
      <c r="X65" s="54" t="n">
        <v>6689</v>
      </c>
      <c r="Y65" s="10" t="n">
        <v>5.45</v>
      </c>
      <c r="Z65" s="12" t="n">
        <v>5.6</v>
      </c>
      <c r="AA65" s="14">
        <f>Z65*762.02</f>
        <v/>
      </c>
      <c r="AB65" s="13">
        <f>I65*10000*Z65</f>
        <v/>
      </c>
      <c r="AC65" s="7" t="inlineStr">
        <is>
          <t>5.50-6.80</t>
        </is>
      </c>
      <c r="AD65" s="7" t="inlineStr">
        <is>
          <t>80-116</t>
        </is>
      </c>
      <c r="AE65" s="20" t="n">
        <v>7.3</v>
      </c>
      <c r="AF65" s="22">
        <f>AE65*762.02</f>
        <v/>
      </c>
      <c r="AG65" s="21">
        <f>I65*10000*AE65</f>
        <v/>
      </c>
      <c r="AH65" s="21">
        <f>I65*10000*$C$3</f>
        <v/>
      </c>
      <c r="AI65" s="11">
        <f>I65*630</f>
        <v/>
      </c>
      <c r="AJ65" s="57">
        <f>I65*3000</f>
        <v/>
      </c>
      <c r="AK65" s="57">
        <f>AJ65*30</f>
        <v/>
      </c>
      <c r="AL65" s="58" t="n">
        <v>79</v>
      </c>
      <c r="AM65" s="59" t="n">
        <v>44.953508</v>
      </c>
      <c r="AN65" s="59" t="n">
        <v>9.922945</v>
      </c>
      <c r="AO65" s="60" t="inlineStr">
        <is>
          <t>Apri Google Maps</t>
        </is>
      </c>
      <c r="AP65" s="8" t="inlineStr">
        <is>
          <t>Seminativo aperto in fascia autostradale ≤300m D.Lgs. 199/2021</t>
        </is>
      </c>
      <c r="AQ65" s="47" t="n"/>
      <c r="AR65" s="61" t="n"/>
      <c r="AS65" s="62">
        <f>IF(AR65="","",AR65*762.02)</f>
        <v/>
      </c>
      <c r="AT65" s="7">
        <f>IF(AR65="","",IF(AR65&lt;=$C$3,"SÌ (ENTRO 8€/MQ)","NO (SOPRA SOGLIA -&gt; PROPORRE DDS)"))</f>
        <v/>
      </c>
    </row>
    <row r="66" ht="24" customHeight="1">
      <c r="A66" s="7" t="n">
        <v>61</v>
      </c>
      <c r="B66" s="32" t="inlineStr">
        <is>
          <t>PC-A1-061</t>
        </is>
      </c>
      <c r="C66" s="8" t="inlineStr">
        <is>
          <t>Top 50 Aperta Campagna</t>
        </is>
      </c>
      <c r="D66" s="8" t="inlineStr">
        <is>
          <t>🔥 Priorità 1 · Top Taglia / Rete AT Vicina</t>
        </is>
      </c>
      <c r="E66" s="6" t="inlineStr">
        <is>
          <t>Cadeo</t>
        </is>
      </c>
      <c r="F66" s="7" t="inlineStr">
        <is>
          <t>B332</t>
        </is>
      </c>
      <c r="G66" s="7" t="n">
        <v>18</v>
      </c>
      <c r="H66" s="7" t="n">
        <v>182</v>
      </c>
      <c r="I66" s="52" t="n">
        <v>5.01</v>
      </c>
      <c r="J66" s="52" t="n">
        <v>5.01</v>
      </c>
      <c r="K66" s="53">
        <f>I66*13.1230</f>
        <v/>
      </c>
      <c r="L66" s="53">
        <f>J66*13.1230</f>
        <v/>
      </c>
      <c r="M66" s="7" t="inlineStr">
        <is>
          <t>A1</t>
        </is>
      </c>
      <c r="N66" s="54" t="n">
        <v>82</v>
      </c>
      <c r="O66" s="54" t="n">
        <v>64</v>
      </c>
      <c r="P66" s="7" t="n">
        <v>380</v>
      </c>
      <c r="Q66" s="8" t="inlineStr">
        <is>
          <t>Cadeo FS (132 kV)</t>
        </is>
      </c>
      <c r="R66" s="55" t="n">
        <v>1.4</v>
      </c>
      <c r="S66" s="8" t="inlineStr">
        <is>
          <t>CP Cortemaggiore (AC001E01172)</t>
        </is>
      </c>
      <c r="T66" s="54" t="n">
        <v>1820</v>
      </c>
      <c r="U66" s="11" t="n">
        <v>163300</v>
      </c>
      <c r="V66" s="56" t="n">
        <v>4.17</v>
      </c>
      <c r="W66" s="56" t="n">
        <v>4.17</v>
      </c>
      <c r="X66" s="54" t="n">
        <v>6642</v>
      </c>
      <c r="Y66" s="10" t="n">
        <v>5.45</v>
      </c>
      <c r="Z66" s="12" t="n">
        <v>5.75</v>
      </c>
      <c r="AA66" s="14">
        <f>Z66*762.02</f>
        <v/>
      </c>
      <c r="AB66" s="13">
        <f>I66*10000*Z66</f>
        <v/>
      </c>
      <c r="AC66" s="7" t="inlineStr">
        <is>
          <t>5.60-7.15</t>
        </is>
      </c>
      <c r="AD66" s="7" t="inlineStr">
        <is>
          <t>70-95</t>
        </is>
      </c>
      <c r="AE66" s="20" t="n">
        <v>7.2</v>
      </c>
      <c r="AF66" s="22">
        <f>AE66*762.02</f>
        <v/>
      </c>
      <c r="AG66" s="21">
        <f>I66*10000*AE66</f>
        <v/>
      </c>
      <c r="AH66" s="21">
        <f>I66*10000*$C$3</f>
        <v/>
      </c>
      <c r="AI66" s="11">
        <f>I66*640</f>
        <v/>
      </c>
      <c r="AJ66" s="57">
        <f>I66*3000</f>
        <v/>
      </c>
      <c r="AK66" s="57">
        <f>AJ66*30</f>
        <v/>
      </c>
      <c r="AL66" s="58" t="n">
        <v>90.5</v>
      </c>
      <c r="AM66" s="59" t="n">
        <v>44.980825</v>
      </c>
      <c r="AN66" s="59" t="n">
        <v>9.858222</v>
      </c>
      <c r="AO66" s="60" t="inlineStr">
        <is>
          <t>Apri Google Maps</t>
        </is>
      </c>
      <c r="AP66" s="8" t="inlineStr">
        <is>
          <t>Linea AT 380 kV a ~64 m; Stazione elettrica Cadeo FS a ~1,4 km</t>
        </is>
      </c>
      <c r="AQ66" s="47" t="n"/>
      <c r="AR66" s="61" t="n"/>
      <c r="AS66" s="62">
        <f>IF(AR66="","",AR66*762.02)</f>
        <v/>
      </c>
      <c r="AT66" s="7">
        <f>IF(AR66="","",IF(AR66&lt;=$C$3,"SÌ (ENTRO 8€/MQ)","NO (SOPRA SOGLIA -&gt; PROPORRE DDS)"))</f>
        <v/>
      </c>
    </row>
    <row r="67" ht="24" customHeight="1">
      <c r="A67" s="7" t="n">
        <v>62</v>
      </c>
      <c r="B67" s="32" t="inlineStr">
        <is>
          <t>PC-A21-062</t>
        </is>
      </c>
      <c r="C67" s="8" t="inlineStr">
        <is>
          <t>Top 50 Aperta Campagna</t>
        </is>
      </c>
      <c r="D67" s="8" t="inlineStr">
        <is>
          <t>🔥 Priorità 1 · Top Taglia / Rete AT Vicina</t>
        </is>
      </c>
      <c r="E67" s="6" t="inlineStr">
        <is>
          <t>San Pietro in Cerro</t>
        </is>
      </c>
      <c r="F67" s="7" t="inlineStr">
        <is>
          <t>G788</t>
        </is>
      </c>
      <c r="G67" s="7" t="n">
        <v>1</v>
      </c>
      <c r="H67" s="7" t="n">
        <v>2</v>
      </c>
      <c r="I67" s="52" t="n">
        <v>5.01</v>
      </c>
      <c r="J67" s="52" t="n">
        <v>5.01</v>
      </c>
      <c r="K67" s="53">
        <f>I67*13.1230</f>
        <v/>
      </c>
      <c r="L67" s="53">
        <f>J67*13.1230</f>
        <v/>
      </c>
      <c r="M67" s="7" t="inlineStr">
        <is>
          <t>A21</t>
        </is>
      </c>
      <c r="N67" s="54" t="n">
        <v>20</v>
      </c>
      <c r="O67" s="54" t="n">
        <v>308</v>
      </c>
      <c r="P67" s="7" t="n">
        <v>380</v>
      </c>
      <c r="Q67" s="8" t="inlineStr">
        <is>
          <t>Monticelli FS (132 kV)</t>
        </is>
      </c>
      <c r="R67" s="55" t="n">
        <v>0.6</v>
      </c>
      <c r="S67" s="8" t="inlineStr">
        <is>
          <t>CP Monticelli d'Ongina (AC001E01173)</t>
        </is>
      </c>
      <c r="T67" s="54" t="n">
        <v>780</v>
      </c>
      <c r="U67" s="11" t="n">
        <v>95700</v>
      </c>
      <c r="V67" s="56" t="n">
        <v>4.17</v>
      </c>
      <c r="W67" s="56" t="n">
        <v>4.17</v>
      </c>
      <c r="X67" s="54" t="n">
        <v>6642</v>
      </c>
      <c r="Y67" s="10" t="n">
        <v>5.5</v>
      </c>
      <c r="Z67" s="12" t="n">
        <v>5.15</v>
      </c>
      <c r="AA67" s="14">
        <f>Z67*762.02</f>
        <v/>
      </c>
      <c r="AB67" s="13">
        <f>I67*10000*Z67</f>
        <v/>
      </c>
      <c r="AC67" s="7" t="inlineStr">
        <is>
          <t>4.90-6.10</t>
        </is>
      </c>
      <c r="AD67" s="7" t="inlineStr">
        <is>
          <t>50-70</t>
        </is>
      </c>
      <c r="AE67" s="20" t="n">
        <v>7.05</v>
      </c>
      <c r="AF67" s="22">
        <f>AE67*762.02</f>
        <v/>
      </c>
      <c r="AG67" s="21">
        <f>I67*10000*AE67</f>
        <v/>
      </c>
      <c r="AH67" s="21">
        <f>I67*10000*$C$3</f>
        <v/>
      </c>
      <c r="AI67" s="11">
        <f>I67*580</f>
        <v/>
      </c>
      <c r="AJ67" s="57">
        <f>I67*3000</f>
        <v/>
      </c>
      <c r="AK67" s="57">
        <f>AJ67*30</f>
        <v/>
      </c>
      <c r="AL67" s="58" t="n">
        <v>94.5</v>
      </c>
      <c r="AM67" s="59" t="n">
        <v>45.056629</v>
      </c>
      <c r="AN67" s="59" t="n">
        <v>9.914016</v>
      </c>
      <c r="AO67" s="60" t="inlineStr">
        <is>
          <t>Apri Google Maps</t>
        </is>
      </c>
      <c r="AP67" s="8" t="inlineStr">
        <is>
          <t>Stazione elettrica Monticelli FS a ~0,6 km</t>
        </is>
      </c>
      <c r="AQ67" s="47" t="n"/>
      <c r="AR67" s="61" t="n"/>
      <c r="AS67" s="62">
        <f>IF(AR67="","",AR67*762.02)</f>
        <v/>
      </c>
      <c r="AT67" s="7">
        <f>IF(AR67="","",IF(AR67&lt;=$C$3,"SÌ (ENTRO 8€/MQ)","NO (SOPRA SOGLIA -&gt; PROPORRE DDS)"))</f>
        <v/>
      </c>
    </row>
    <row r="68" ht="24" customHeight="1">
      <c r="A68" s="7" t="n">
        <v>63</v>
      </c>
      <c r="B68" s="32" t="inlineStr">
        <is>
          <t>PC-A1-063</t>
        </is>
      </c>
      <c r="C68" s="8" t="inlineStr">
        <is>
          <t>Top 50 Aperta Campagna</t>
        </is>
      </c>
      <c r="D68" s="8" t="inlineStr">
        <is>
          <t>✅ Priorità 2 · Aperta Campagna Qualificata</t>
        </is>
      </c>
      <c r="E68" s="6" t="inlineStr">
        <is>
          <t>Fiorenzuola d'Arda</t>
        </is>
      </c>
      <c r="F68" s="7" t="inlineStr">
        <is>
          <t>D611</t>
        </is>
      </c>
      <c r="G68" s="7" t="n">
        <v>9</v>
      </c>
      <c r="H68" s="7" t="n">
        <v>34</v>
      </c>
      <c r="I68" s="52" t="n">
        <v>4.93</v>
      </c>
      <c r="J68" s="52" t="n">
        <v>4.93</v>
      </c>
      <c r="K68" s="53">
        <f>I68*13.1230</f>
        <v/>
      </c>
      <c r="L68" s="53">
        <f>J68*13.1230</f>
        <v/>
      </c>
      <c r="M68" s="7" t="inlineStr">
        <is>
          <t>A1</t>
        </is>
      </c>
      <c r="N68" s="54" t="n">
        <v>16</v>
      </c>
      <c r="O68" s="54" t="n">
        <v>200</v>
      </c>
      <c r="P68" s="7" t="n">
        <v>132</v>
      </c>
      <c r="Q68" s="8" t="inlineStr">
        <is>
          <t>Fiorenzuola AV (132 kV)</t>
        </is>
      </c>
      <c r="R68" s="55" t="n">
        <v>2.5</v>
      </c>
      <c r="S68" s="8" t="inlineStr">
        <is>
          <t>CP Fiorenzuola d'Arda (AC001E01230)</t>
        </is>
      </c>
      <c r="T68" s="54" t="n">
        <v>3250</v>
      </c>
      <c r="U68" s="11" t="n">
        <v>256250</v>
      </c>
      <c r="V68" s="56" t="n">
        <v>4.11</v>
      </c>
      <c r="W68" s="56" t="n">
        <v>4.11</v>
      </c>
      <c r="X68" s="54" t="n">
        <v>6546</v>
      </c>
      <c r="Y68" s="10" t="n">
        <v>5.45</v>
      </c>
      <c r="Z68" s="12" t="n">
        <v>5.6</v>
      </c>
      <c r="AA68" s="14">
        <f>Z68*762.02</f>
        <v/>
      </c>
      <c r="AB68" s="13">
        <f>I68*10000*Z68</f>
        <v/>
      </c>
      <c r="AC68" s="7" t="inlineStr">
        <is>
          <t>5.50-6.80</t>
        </is>
      </c>
      <c r="AD68" s="7" t="inlineStr">
        <is>
          <t>80-116</t>
        </is>
      </c>
      <c r="AE68" s="20" t="n">
        <v>7.3</v>
      </c>
      <c r="AF68" s="22">
        <f>AE68*762.02</f>
        <v/>
      </c>
      <c r="AG68" s="21">
        <f>I68*10000*AE68</f>
        <v/>
      </c>
      <c r="AH68" s="21">
        <f>I68*10000*$C$3</f>
        <v/>
      </c>
      <c r="AI68" s="11">
        <f>I68*630</f>
        <v/>
      </c>
      <c r="AJ68" s="57">
        <f>I68*3000</f>
        <v/>
      </c>
      <c r="AK68" s="57">
        <f>AJ68*30</f>
        <v/>
      </c>
      <c r="AL68" s="58" t="n">
        <v>83</v>
      </c>
      <c r="AM68" s="59" t="n">
        <v>44.956972</v>
      </c>
      <c r="AN68" s="59" t="n">
        <v>9.916694</v>
      </c>
      <c r="AO68" s="60" t="inlineStr">
        <is>
          <t>Apri Google Maps</t>
        </is>
      </c>
      <c r="AP68" s="8" t="inlineStr">
        <is>
          <t>Linea AT 132 kV a ~200 m</t>
        </is>
      </c>
      <c r="AQ68" s="47" t="n"/>
      <c r="AR68" s="61" t="n"/>
      <c r="AS68" s="62">
        <f>IF(AR68="","",AR68*762.02)</f>
        <v/>
      </c>
      <c r="AT68" s="7">
        <f>IF(AR68="","",IF(AR68&lt;=$C$3,"SÌ (ENTRO 8€/MQ)","NO (SOPRA SOGLIA -&gt; PROPORRE DDS)"))</f>
        <v/>
      </c>
    </row>
    <row r="69" ht="24" customHeight="1">
      <c r="A69" s="7" t="n">
        <v>64</v>
      </c>
      <c r="B69" s="32" t="inlineStr">
        <is>
          <t>PC-A1-064</t>
        </is>
      </c>
      <c r="C69" s="8" t="inlineStr">
        <is>
          <t>Top 50 Aperta Campagna</t>
        </is>
      </c>
      <c r="D69" s="8" t="inlineStr">
        <is>
          <t>✅ Priorità 2 · Aperta Campagna Qualificata</t>
        </is>
      </c>
      <c r="E69" s="6" t="inlineStr">
        <is>
          <t>Fiorenzuola d'Arda</t>
        </is>
      </c>
      <c r="F69" s="7" t="inlineStr">
        <is>
          <t>D611</t>
        </is>
      </c>
      <c r="G69" s="7" t="n">
        <v>9</v>
      </c>
      <c r="H69" s="7" t="n">
        <v>279</v>
      </c>
      <c r="I69" s="52" t="n">
        <v>5.04</v>
      </c>
      <c r="J69" s="52" t="n">
        <v>4.88</v>
      </c>
      <c r="K69" s="53">
        <f>I69*13.1230</f>
        <v/>
      </c>
      <c r="L69" s="53">
        <f>J69*13.1230</f>
        <v/>
      </c>
      <c r="M69" s="7" t="inlineStr">
        <is>
          <t>A1</t>
        </is>
      </c>
      <c r="N69" s="54" t="n">
        <v>12</v>
      </c>
      <c r="O69" s="54" t="n">
        <v>314</v>
      </c>
      <c r="P69" s="7" t="n">
        <v>132</v>
      </c>
      <c r="Q69" s="8" t="inlineStr">
        <is>
          <t>Fiorenzuola AV (132 kV)</t>
        </is>
      </c>
      <c r="R69" s="55" t="n">
        <v>2.2</v>
      </c>
      <c r="S69" s="8" t="inlineStr">
        <is>
          <t>CP Fiorenzuola d'Arda (AC001E01230)</t>
        </is>
      </c>
      <c r="T69" s="54" t="n">
        <v>2860</v>
      </c>
      <c r="U69" s="11" t="n">
        <v>230900</v>
      </c>
      <c r="V69" s="56" t="n">
        <v>4.2</v>
      </c>
      <c r="W69" s="56" t="n">
        <v>4.07</v>
      </c>
      <c r="X69" s="54" t="n">
        <v>6689</v>
      </c>
      <c r="Y69" s="10" t="n">
        <v>5.45</v>
      </c>
      <c r="Z69" s="12" t="n">
        <v>5.6</v>
      </c>
      <c r="AA69" s="14">
        <f>Z69*762.02</f>
        <v/>
      </c>
      <c r="AB69" s="13">
        <f>I69*10000*Z69</f>
        <v/>
      </c>
      <c r="AC69" s="7" t="inlineStr">
        <is>
          <t>5.50-6.80</t>
        </is>
      </c>
      <c r="AD69" s="7" t="inlineStr">
        <is>
          <t>80-116</t>
        </is>
      </c>
      <c r="AE69" s="20" t="n">
        <v>7.3</v>
      </c>
      <c r="AF69" s="22">
        <f>AE69*762.02</f>
        <v/>
      </c>
      <c r="AG69" s="21">
        <f>I69*10000*AE69</f>
        <v/>
      </c>
      <c r="AH69" s="21">
        <f>I69*10000*$C$3</f>
        <v/>
      </c>
      <c r="AI69" s="11">
        <f>I69*630</f>
        <v/>
      </c>
      <c r="AJ69" s="57">
        <f>I69*3000</f>
        <v/>
      </c>
      <c r="AK69" s="57">
        <f>AJ69*30</f>
        <v/>
      </c>
      <c r="AL69" s="58" t="n">
        <v>84</v>
      </c>
      <c r="AM69" s="59" t="n">
        <v>44.957977</v>
      </c>
      <c r="AN69" s="59" t="n">
        <v>9.912528</v>
      </c>
      <c r="AO69" s="60" t="inlineStr">
        <is>
          <t>Apri Google Maps</t>
        </is>
      </c>
      <c r="AP69" s="8" t="inlineStr">
        <is>
          <t>Area produttiva a ~340 m: verificare la destinazione urbanistica</t>
        </is>
      </c>
      <c r="AQ69" s="47" t="n"/>
      <c r="AR69" s="61" t="n"/>
      <c r="AS69" s="62">
        <f>IF(AR69="","",AR69*762.02)</f>
        <v/>
      </c>
      <c r="AT69" s="7">
        <f>IF(AR69="","",IF(AR69&lt;=$C$3,"SÌ (ENTRO 8€/MQ)","NO (SOPRA SOGLIA -&gt; PROPORRE DDS)"))</f>
        <v/>
      </c>
    </row>
    <row r="70" ht="24" customHeight="1">
      <c r="A70" s="7" t="n">
        <v>65</v>
      </c>
      <c r="B70" s="32" t="inlineStr">
        <is>
          <t>PC-A1-065</t>
        </is>
      </c>
      <c r="C70" s="8" t="inlineStr">
        <is>
          <t>Top 50 Aperta Campagna</t>
        </is>
      </c>
      <c r="D70" s="8" t="inlineStr">
        <is>
          <t>🔥 Priorità 1 · Top Taglia / Rete AT Vicina</t>
        </is>
      </c>
      <c r="E70" s="6" t="inlineStr">
        <is>
          <t>Piacenza</t>
        </is>
      </c>
      <c r="F70" s="7" t="inlineStr">
        <is>
          <t>G535</t>
        </is>
      </c>
      <c r="G70" s="7" t="n">
        <v>14</v>
      </c>
      <c r="H70" s="7" t="n">
        <v>693</v>
      </c>
      <c r="I70" s="52" t="n">
        <v>5.14</v>
      </c>
      <c r="J70" s="52" t="n">
        <v>4.86</v>
      </c>
      <c r="K70" s="53">
        <f>I70*13.1230</f>
        <v/>
      </c>
      <c r="L70" s="53">
        <f>J70*13.1230</f>
        <v/>
      </c>
      <c r="M70" s="7" t="inlineStr">
        <is>
          <t>A1</t>
        </is>
      </c>
      <c r="N70" s="54" t="n">
        <v>50</v>
      </c>
      <c r="O70" s="54" t="n">
        <v>83</v>
      </c>
      <c r="P70" s="7" t="n">
        <v>380</v>
      </c>
      <c r="Q70" s="8" t="inlineStr">
        <is>
          <t>Tecnoborgo sezionamento (132 kV)</t>
        </is>
      </c>
      <c r="R70" s="55" t="n">
        <v>0.7</v>
      </c>
      <c r="S70" s="8" t="inlineStr">
        <is>
          <t>CP Piacenza (AC001E01168)</t>
        </is>
      </c>
      <c r="T70" s="54" t="n">
        <v>910</v>
      </c>
      <c r="U70" s="11" t="n">
        <v>104150</v>
      </c>
      <c r="V70" s="56" t="n">
        <v>4.28</v>
      </c>
      <c r="W70" s="56" t="n">
        <v>4.05</v>
      </c>
      <c r="X70" s="54" t="n">
        <v>6817</v>
      </c>
      <c r="Y70" s="10" t="n">
        <v>5.65</v>
      </c>
      <c r="Z70" s="12" t="n">
        <v>6.15</v>
      </c>
      <c r="AA70" s="14">
        <f>Z70*762.02</f>
        <v/>
      </c>
      <c r="AB70" s="13">
        <f>I70*10000*Z70</f>
        <v/>
      </c>
      <c r="AC70" s="7" t="inlineStr">
        <is>
          <t>6.00-7.60</t>
        </is>
      </c>
      <c r="AD70" s="7" t="inlineStr">
        <is>
          <t>80-140</t>
        </is>
      </c>
      <c r="AE70" s="20" t="n">
        <v>7.8</v>
      </c>
      <c r="AF70" s="22">
        <f>AE70*762.02</f>
        <v/>
      </c>
      <c r="AG70" s="21">
        <f>I70*10000*AE70</f>
        <v/>
      </c>
      <c r="AH70" s="21">
        <f>I70*10000*$C$3</f>
        <v/>
      </c>
      <c r="AI70" s="11">
        <f>I70*700</f>
        <v/>
      </c>
      <c r="AJ70" s="57">
        <f>I70*3000</f>
        <v/>
      </c>
      <c r="AK70" s="57">
        <f>AJ70*30</f>
        <v/>
      </c>
      <c r="AL70" s="58" t="n">
        <v>94.5</v>
      </c>
      <c r="AM70" s="59" t="n">
        <v>45.056553</v>
      </c>
      <c r="AN70" s="59" t="n">
        <v>9.740095</v>
      </c>
      <c r="AO70" s="60" t="inlineStr">
        <is>
          <t>Apri Google Maps</t>
        </is>
      </c>
      <c r="AP70" s="8" t="inlineStr">
        <is>
          <t>Linea AT 380 kV a ~83 m; Stazione elettrica Tecnoborgo sezionamento a ~0,7 km; Area produttiva a ~368 m: verificare la destinazione urbanistica</t>
        </is>
      </c>
      <c r="AQ70" s="47" t="n"/>
      <c r="AR70" s="61" t="n"/>
      <c r="AS70" s="62">
        <f>IF(AR70="","",AR70*762.02)</f>
        <v/>
      </c>
      <c r="AT70" s="7">
        <f>IF(AR70="","",IF(AR70&lt;=$C$3,"SÌ (ENTRO 8€/MQ)","NO (SOPRA SOGLIA -&gt; PROPORRE DDS)"))</f>
        <v/>
      </c>
    </row>
    <row r="71" ht="24" customHeight="1">
      <c r="A71" s="7" t="n">
        <v>66</v>
      </c>
      <c r="B71" s="32" t="inlineStr">
        <is>
          <t>PC-A21-066</t>
        </is>
      </c>
      <c r="C71" s="8" t="inlineStr">
        <is>
          <t>Estensione WMS AdE (Griglia Sfalsata)</t>
        </is>
      </c>
      <c r="D71" s="8" t="inlineStr">
        <is>
          <t>🔥 Priorità 1 · Top Taglia / Rete AT Vicina</t>
        </is>
      </c>
      <c r="E71" s="6" t="inlineStr">
        <is>
          <t>San Pietro in Cerro</t>
        </is>
      </c>
      <c r="F71" s="7" t="inlineStr">
        <is>
          <t>G788</t>
        </is>
      </c>
      <c r="G71" s="7" t="n">
        <v>2</v>
      </c>
      <c r="H71" s="7" t="n">
        <v>14</v>
      </c>
      <c r="I71" s="52" t="n">
        <v>15.42</v>
      </c>
      <c r="J71" s="52" t="n">
        <v>4.84</v>
      </c>
      <c r="K71" s="53">
        <f>I71*13.1230</f>
        <v/>
      </c>
      <c r="L71" s="53">
        <f>J71*13.1230</f>
        <v/>
      </c>
      <c r="M71" s="7" t="inlineStr">
        <is>
          <t>A21</t>
        </is>
      </c>
      <c r="N71" s="54" t="n">
        <v>47</v>
      </c>
      <c r="O71" s="54" t="n">
        <v>80</v>
      </c>
      <c r="P71" s="7" t="n">
        <v>132</v>
      </c>
      <c r="Q71" s="8" t="inlineStr">
        <is>
          <t>Monticelli Ferrovia (132 kV)</t>
        </is>
      </c>
      <c r="R71" s="55" t="n">
        <v>0.9</v>
      </c>
      <c r="S71" s="8" t="inlineStr">
        <is>
          <t>CP Monticelli d'Ongina (AC001E01173)</t>
        </is>
      </c>
      <c r="T71" s="54" t="n">
        <v>1170</v>
      </c>
      <c r="U71" s="11" t="n">
        <v>121050</v>
      </c>
      <c r="V71" s="56" t="n">
        <v>12.85</v>
      </c>
      <c r="W71" s="56" t="n">
        <v>4.03</v>
      </c>
      <c r="X71" s="54" t="n">
        <v>20466</v>
      </c>
      <c r="Y71" s="10" t="n">
        <v>5.5</v>
      </c>
      <c r="Z71" s="12" t="n">
        <v>5.15</v>
      </c>
      <c r="AA71" s="14">
        <f>Z71*762.02</f>
        <v/>
      </c>
      <c r="AB71" s="13">
        <f>I71*10000*Z71</f>
        <v/>
      </c>
      <c r="AC71" s="7" t="inlineStr">
        <is>
          <t>4.90-6.10</t>
        </is>
      </c>
      <c r="AD71" s="7" t="inlineStr">
        <is>
          <t>50-70</t>
        </is>
      </c>
      <c r="AE71" s="20" t="n">
        <v>7.05</v>
      </c>
      <c r="AF71" s="22">
        <f>AE71*762.02</f>
        <v/>
      </c>
      <c r="AG71" s="21">
        <f>I71*10000*AE71</f>
        <v/>
      </c>
      <c r="AH71" s="21">
        <f>I71*10000*$C$3</f>
        <v/>
      </c>
      <c r="AI71" s="11">
        <f>I71*580</f>
        <v/>
      </c>
      <c r="AJ71" s="57">
        <f>I71*3000</f>
        <v/>
      </c>
      <c r="AK71" s="57">
        <f>AJ71*30</f>
        <v/>
      </c>
      <c r="AL71" s="58" t="n">
        <v>95</v>
      </c>
      <c r="AM71" s="59" t="n">
        <v>45.055278</v>
      </c>
      <c r="AN71" s="59" t="n">
        <v>9.926408</v>
      </c>
      <c r="AO71" s="60" t="inlineStr">
        <is>
          <t>Apri Google Maps</t>
        </is>
      </c>
      <c r="AP71" s="8" t="inlineStr">
        <is>
          <t>Linea AT 132 kV a ~80 m; Stazione elettrica Monticelli Ferrovia a ~0,9 km; 10,6 ha oltre i 300 m</t>
        </is>
      </c>
      <c r="AQ71" s="47" t="n"/>
      <c r="AR71" s="61" t="n"/>
      <c r="AS71" s="62">
        <f>IF(AR71="","",AR71*762.02)</f>
        <v/>
      </c>
      <c r="AT71" s="7">
        <f>IF(AR71="","",IF(AR71&lt;=$C$3,"SÌ (ENTRO 8€/MQ)","NO (SOPRA SOGLIA -&gt; PROPORRE DDS)"))</f>
        <v/>
      </c>
    </row>
    <row r="72" ht="24" customHeight="1">
      <c r="A72" s="7" t="n">
        <v>67</v>
      </c>
      <c r="B72" s="32" t="inlineStr">
        <is>
          <t>PC-A1-067</t>
        </is>
      </c>
      <c r="C72" s="8" t="inlineStr">
        <is>
          <t>Top 50 Aperta Campagna</t>
        </is>
      </c>
      <c r="D72" s="8" t="inlineStr">
        <is>
          <t>🔥 Priorità 1 · Top Taglia / Rete AT Vicina</t>
        </is>
      </c>
      <c r="E72" s="6" t="inlineStr">
        <is>
          <t>Cadeo</t>
        </is>
      </c>
      <c r="F72" s="7" t="inlineStr">
        <is>
          <t>B332</t>
        </is>
      </c>
      <c r="G72" s="7" t="n">
        <v>21</v>
      </c>
      <c r="H72" s="7" t="n">
        <v>72</v>
      </c>
      <c r="I72" s="52" t="n">
        <v>4.77</v>
      </c>
      <c r="J72" s="52" t="n">
        <v>4.77</v>
      </c>
      <c r="K72" s="53">
        <f>I72*13.1230</f>
        <v/>
      </c>
      <c r="L72" s="53">
        <f>J72*13.1230</f>
        <v/>
      </c>
      <c r="M72" s="7" t="inlineStr">
        <is>
          <t>A1</t>
        </is>
      </c>
      <c r="N72" s="54" t="n">
        <v>18</v>
      </c>
      <c r="O72" s="54" t="n">
        <v>347</v>
      </c>
      <c r="P72" s="7" t="n">
        <v>132</v>
      </c>
      <c r="Q72" s="8" t="inlineStr">
        <is>
          <t>Fiorenzuola AV (132 kV)</t>
        </is>
      </c>
      <c r="R72" s="55" t="n">
        <v>0.6</v>
      </c>
      <c r="S72" s="8" t="inlineStr">
        <is>
          <t>CP Fiorenzuola d'Arda (AC001E01230)</t>
        </is>
      </c>
      <c r="T72" s="54" t="n">
        <v>780</v>
      </c>
      <c r="U72" s="11" t="n">
        <v>95700</v>
      </c>
      <c r="V72" s="56" t="n">
        <v>3.97</v>
      </c>
      <c r="W72" s="56" t="n">
        <v>3.97</v>
      </c>
      <c r="X72" s="54" t="n">
        <v>6323</v>
      </c>
      <c r="Y72" s="10" t="n">
        <v>5.45</v>
      </c>
      <c r="Z72" s="12" t="n">
        <v>5.75</v>
      </c>
      <c r="AA72" s="14">
        <f>Z72*762.02</f>
        <v/>
      </c>
      <c r="AB72" s="13">
        <f>I72*10000*Z72</f>
        <v/>
      </c>
      <c r="AC72" s="7" t="inlineStr">
        <is>
          <t>5.60-7.15</t>
        </is>
      </c>
      <c r="AD72" s="7" t="inlineStr">
        <is>
          <t>70-95</t>
        </is>
      </c>
      <c r="AE72" s="20" t="n">
        <v>7.2</v>
      </c>
      <c r="AF72" s="22">
        <f>AE72*762.02</f>
        <v/>
      </c>
      <c r="AG72" s="21">
        <f>I72*10000*AE72</f>
        <v/>
      </c>
      <c r="AH72" s="21">
        <f>I72*10000*$C$3</f>
        <v/>
      </c>
      <c r="AI72" s="11">
        <f>I72*640</f>
        <v/>
      </c>
      <c r="AJ72" s="57">
        <f>I72*3000</f>
        <v/>
      </c>
      <c r="AK72" s="57">
        <f>AJ72*30</f>
        <v/>
      </c>
      <c r="AL72" s="58" t="n">
        <v>93.5</v>
      </c>
      <c r="AM72" s="59" t="n">
        <v>44.971448</v>
      </c>
      <c r="AN72" s="59" t="n">
        <v>9.882303</v>
      </c>
      <c r="AO72" s="60" t="inlineStr">
        <is>
          <t>Apri Google Maps</t>
        </is>
      </c>
      <c r="AP72" s="8" t="inlineStr">
        <is>
          <t>Stazione elettrica Fiorenzuola AV a ~0,6 km</t>
        </is>
      </c>
      <c r="AQ72" s="47" t="n"/>
      <c r="AR72" s="61" t="n"/>
      <c r="AS72" s="62">
        <f>IF(AR72="","",AR72*762.02)</f>
        <v/>
      </c>
      <c r="AT72" s="7">
        <f>IF(AR72="","",IF(AR72&lt;=$C$3,"SÌ (ENTRO 8€/MQ)","NO (SOPRA SOGLIA -&gt; PROPORRE DDS)"))</f>
        <v/>
      </c>
    </row>
    <row r="73" ht="24" customHeight="1">
      <c r="A73" s="7" t="n">
        <v>68</v>
      </c>
      <c r="B73" s="32" t="inlineStr">
        <is>
          <t>PC-A21-068</t>
        </is>
      </c>
      <c r="C73" s="8" t="inlineStr">
        <is>
          <t>Top 50 Aperta Campagna</t>
        </is>
      </c>
      <c r="D73" s="8" t="inlineStr">
        <is>
          <t>🔥 Priorità 1 · Top Taglia / Rete AT Vicina</t>
        </is>
      </c>
      <c r="E73" s="6" t="inlineStr">
        <is>
          <t>Sarmato</t>
        </is>
      </c>
      <c r="F73" s="7" t="inlineStr">
        <is>
          <t>I434</t>
        </is>
      </c>
      <c r="G73" s="7" t="n">
        <v>10</v>
      </c>
      <c r="H73" s="7" t="n">
        <v>1041</v>
      </c>
      <c r="I73" s="52" t="n">
        <v>4.72</v>
      </c>
      <c r="J73" s="52" t="n">
        <v>4.72</v>
      </c>
      <c r="K73" s="53">
        <f>I73*13.1230</f>
        <v/>
      </c>
      <c r="L73" s="53">
        <f>J73*13.1230</f>
        <v/>
      </c>
      <c r="M73" s="7" t="inlineStr">
        <is>
          <t>A21</t>
        </is>
      </c>
      <c r="N73" s="54" t="n">
        <v>13</v>
      </c>
      <c r="O73" s="54" t="n">
        <v>744</v>
      </c>
      <c r="P73" s="7" t="n">
        <v>132</v>
      </c>
      <c r="Q73" s="8" t="inlineStr">
        <is>
          <t>Sarmato FS (132 kV)</t>
        </is>
      </c>
      <c r="R73" s="55" t="n">
        <v>0.9</v>
      </c>
      <c r="S73" s="8" t="inlineStr">
        <is>
          <t>CP Rottofreno (AC001E01165)</t>
        </is>
      </c>
      <c r="T73" s="54" t="n">
        <v>1170</v>
      </c>
      <c r="U73" s="11" t="n">
        <v>121050</v>
      </c>
      <c r="V73" s="56" t="n">
        <v>3.93</v>
      </c>
      <c r="W73" s="56" t="n">
        <v>3.93</v>
      </c>
      <c r="X73" s="54" t="n">
        <v>6259</v>
      </c>
      <c r="Y73" s="10" t="n">
        <v>5.6</v>
      </c>
      <c r="Z73" s="12" t="n">
        <v>5.5</v>
      </c>
      <c r="AA73" s="14">
        <f>Z73*762.02</f>
        <v/>
      </c>
      <c r="AB73" s="13">
        <f>I73*10000*Z73</f>
        <v/>
      </c>
      <c r="AC73" s="7" t="inlineStr">
        <is>
          <t>5.30-6.50</t>
        </is>
      </c>
      <c r="AD73" s="7" t="inlineStr">
        <is>
          <t>70-95</t>
        </is>
      </c>
      <c r="AE73" s="20" t="n">
        <v>7.3</v>
      </c>
      <c r="AF73" s="22">
        <f>AE73*762.02</f>
        <v/>
      </c>
      <c r="AG73" s="21">
        <f>I73*10000*AE73</f>
        <v/>
      </c>
      <c r="AH73" s="21">
        <f>I73*10000*$C$3</f>
        <v/>
      </c>
      <c r="AI73" s="11">
        <f>I73*620</f>
        <v/>
      </c>
      <c r="AJ73" s="57">
        <f>I73*3000</f>
        <v/>
      </c>
      <c r="AK73" s="57">
        <f>AJ73*30</f>
        <v/>
      </c>
      <c r="AL73" s="58" t="n">
        <v>93.5</v>
      </c>
      <c r="AM73" s="59" t="n">
        <v>45.069647</v>
      </c>
      <c r="AN73" s="59" t="n">
        <v>9.491875</v>
      </c>
      <c r="AO73" s="60" t="inlineStr">
        <is>
          <t>Apri Google Maps</t>
        </is>
      </c>
      <c r="AP73" s="8" t="inlineStr">
        <is>
          <t>Stazione elettrica Sarmato FS a ~0,9 km</t>
        </is>
      </c>
      <c r="AQ73" s="47" t="n"/>
      <c r="AR73" s="61" t="n"/>
      <c r="AS73" s="62">
        <f>IF(AR73="","",AR73*762.02)</f>
        <v/>
      </c>
      <c r="AT73" s="7">
        <f>IF(AR73="","",IF(AR73&lt;=$C$3,"SÌ (ENTRO 8€/MQ)","NO (SOPRA SOGLIA -&gt; PROPORRE DDS)"))</f>
        <v/>
      </c>
    </row>
    <row r="74" ht="24" customHeight="1">
      <c r="A74" s="7" t="n">
        <v>69</v>
      </c>
      <c r="B74" s="32" t="inlineStr">
        <is>
          <t>PC-A1-069</t>
        </is>
      </c>
      <c r="C74" s="8" t="inlineStr">
        <is>
          <t>Estensione WMS AdE (Griglia Sfalsata)</t>
        </is>
      </c>
      <c r="D74" s="8" t="inlineStr">
        <is>
          <t>🔥 Priorità 1 · Top Taglia / Rete AT Vicina</t>
        </is>
      </c>
      <c r="E74" s="6" t="inlineStr">
        <is>
          <t>Fiorenzuola d'Arda</t>
        </is>
      </c>
      <c r="F74" s="7" t="inlineStr">
        <is>
          <t>D611</t>
        </is>
      </c>
      <c r="G74" s="7" t="n">
        <v>9</v>
      </c>
      <c r="H74" s="7" t="n">
        <v>136</v>
      </c>
      <c r="I74" s="52" t="n">
        <v>4.72</v>
      </c>
      <c r="J74" s="52" t="n">
        <v>4.72</v>
      </c>
      <c r="K74" s="53">
        <f>I74*13.1230</f>
        <v/>
      </c>
      <c r="L74" s="53">
        <f>J74*13.1230</f>
        <v/>
      </c>
      <c r="M74" s="7" t="inlineStr">
        <is>
          <t>A1</t>
        </is>
      </c>
      <c r="N74" s="54" t="n">
        <v>14</v>
      </c>
      <c r="O74" s="54" t="n">
        <v>169</v>
      </c>
      <c r="P74" s="7" t="n">
        <v>132</v>
      </c>
      <c r="Q74" s="8" t="inlineStr">
        <is>
          <t>Fiorenzuola AV (132 kV)</t>
        </is>
      </c>
      <c r="R74" s="55" t="n">
        <v>1.5</v>
      </c>
      <c r="S74" s="8" t="inlineStr">
        <is>
          <t>CP Fiorenzuola d'Arda (AC001E01230)</t>
        </is>
      </c>
      <c r="T74" s="54" t="n">
        <v>1950</v>
      </c>
      <c r="U74" s="11" t="n">
        <v>171750</v>
      </c>
      <c r="V74" s="56" t="n">
        <v>3.93</v>
      </c>
      <c r="W74" s="56" t="n">
        <v>3.93</v>
      </c>
      <c r="X74" s="54" t="n">
        <v>6259</v>
      </c>
      <c r="Y74" s="10" t="n">
        <v>5.45</v>
      </c>
      <c r="Z74" s="12" t="n">
        <v>5.6</v>
      </c>
      <c r="AA74" s="14">
        <f>Z74*762.02</f>
        <v/>
      </c>
      <c r="AB74" s="13">
        <f>I74*10000*Z74</f>
        <v/>
      </c>
      <c r="AC74" s="7" t="inlineStr">
        <is>
          <t>5.50-6.80</t>
        </is>
      </c>
      <c r="AD74" s="7" t="inlineStr">
        <is>
          <t>80-116</t>
        </is>
      </c>
      <c r="AE74" s="20" t="n">
        <v>7.3</v>
      </c>
      <c r="AF74" s="22">
        <f>AE74*762.02</f>
        <v/>
      </c>
      <c r="AG74" s="21">
        <f>I74*10000*AE74</f>
        <v/>
      </c>
      <c r="AH74" s="21">
        <f>I74*10000*$C$3</f>
        <v/>
      </c>
      <c r="AI74" s="11">
        <f>I74*630</f>
        <v/>
      </c>
      <c r="AJ74" s="57">
        <f>I74*3000</f>
        <v/>
      </c>
      <c r="AK74" s="57">
        <f>AJ74*30</f>
        <v/>
      </c>
      <c r="AL74" s="58" t="n">
        <v>87</v>
      </c>
      <c r="AM74" s="59" t="n">
        <v>44.962776</v>
      </c>
      <c r="AN74" s="59" t="n">
        <v>9.906549999999999</v>
      </c>
      <c r="AO74" s="60" t="inlineStr">
        <is>
          <t>Apri Google Maps</t>
        </is>
      </c>
      <c r="AP74" s="8" t="inlineStr">
        <is>
          <t>Linea AT 132 kV a ~169 m; Stazione elettrica Fiorenzuola AV a ~1,5 km</t>
        </is>
      </c>
      <c r="AQ74" s="47" t="n"/>
      <c r="AR74" s="61" t="n"/>
      <c r="AS74" s="62">
        <f>IF(AR74="","",AR74*762.02)</f>
        <v/>
      </c>
      <c r="AT74" s="7">
        <f>IF(AR74="","",IF(AR74&lt;=$C$3,"SÌ (ENTRO 8€/MQ)","NO (SOPRA SOGLIA -&gt; PROPORRE DDS)"))</f>
        <v/>
      </c>
    </row>
    <row r="75" ht="24" customHeight="1">
      <c r="A75" s="7" t="n">
        <v>70</v>
      </c>
      <c r="B75" s="32" t="inlineStr">
        <is>
          <t>PC-A21-070</t>
        </is>
      </c>
      <c r="C75" s="8" t="inlineStr">
        <is>
          <t>Top 50 Aperta Campagna</t>
        </is>
      </c>
      <c r="D75" s="8" t="inlineStr">
        <is>
          <t>✅ Priorità 2 · Aperta Campagna Qualificata</t>
        </is>
      </c>
      <c r="E75" s="6" t="inlineStr">
        <is>
          <t>Castelvetro Piacentino</t>
        </is>
      </c>
      <c r="F75" s="7" t="inlineStr">
        <is>
          <t>C288</t>
        </is>
      </c>
      <c r="G75" s="7" t="n">
        <v>16</v>
      </c>
      <c r="H75" s="7" t="n">
        <v>80</v>
      </c>
      <c r="I75" s="52" t="n">
        <v>4.69</v>
      </c>
      <c r="J75" s="52" t="n">
        <v>4.69</v>
      </c>
      <c r="K75" s="53">
        <f>I75*13.1230</f>
        <v/>
      </c>
      <c r="L75" s="53">
        <f>J75*13.1230</f>
        <v/>
      </c>
      <c r="M75" s="7" t="inlineStr">
        <is>
          <t>A21</t>
        </is>
      </c>
      <c r="N75" s="54" t="n">
        <v>17</v>
      </c>
      <c r="O75" s="54" t="n">
        <v>2034</v>
      </c>
      <c r="P75" s="7" t="n">
        <v>380</v>
      </c>
      <c r="Q75" s="8" t="inlineStr">
        <is>
          <t>Cortemaggiore (132 kV)</t>
        </is>
      </c>
      <c r="R75" s="55" t="n">
        <v>8.300000000000001</v>
      </c>
      <c r="S75" s="8" t="inlineStr">
        <is>
          <t>CP Monticelli d'Ongina (AC001E01173)</t>
        </is>
      </c>
      <c r="T75" s="54" t="n">
        <v>6468</v>
      </c>
      <c r="U75" s="11" t="n">
        <v>465420</v>
      </c>
      <c r="V75" s="56" t="n">
        <v>3.91</v>
      </c>
      <c r="W75" s="56" t="n">
        <v>3.91</v>
      </c>
      <c r="X75" s="54" t="n">
        <v>6227</v>
      </c>
      <c r="Y75" s="10" t="n">
        <v>5.5</v>
      </c>
      <c r="Z75" s="12" t="n">
        <v>5.3</v>
      </c>
      <c r="AA75" s="14">
        <f>Z75*762.02</f>
        <v/>
      </c>
      <c r="AB75" s="13">
        <f>I75*10000*Z75</f>
        <v/>
      </c>
      <c r="AC75" s="7" t="inlineStr">
        <is>
          <t>5.10-6.30</t>
        </is>
      </c>
      <c r="AD75" s="7" t="inlineStr">
        <is>
          <t>60-85</t>
        </is>
      </c>
      <c r="AE75" s="20" t="n">
        <v>7.15</v>
      </c>
      <c r="AF75" s="22">
        <f>AE75*762.02</f>
        <v/>
      </c>
      <c r="AG75" s="21">
        <f>I75*10000*AE75</f>
        <v/>
      </c>
      <c r="AH75" s="21">
        <f>I75*10000*$C$3</f>
        <v/>
      </c>
      <c r="AI75" s="11">
        <f>I75*600</f>
        <v/>
      </c>
      <c r="AJ75" s="57">
        <f>I75*3000</f>
        <v/>
      </c>
      <c r="AK75" s="57">
        <f>AJ75*30</f>
        <v/>
      </c>
      <c r="AL75" s="58" t="n">
        <v>74</v>
      </c>
      <c r="AM75" s="59" t="n">
        <v>45.077232</v>
      </c>
      <c r="AN75" s="59" t="n">
        <v>9.970022</v>
      </c>
      <c r="AO75" s="60" t="inlineStr">
        <is>
          <t>Apri Google Maps</t>
        </is>
      </c>
      <c r="AP75" s="8" t="inlineStr">
        <is>
          <t>Seminativo aperto in fascia autostradale ≤300m D.Lgs. 199/2021</t>
        </is>
      </c>
      <c r="AQ75" s="47" t="n"/>
      <c r="AR75" s="61" t="n"/>
      <c r="AS75" s="62">
        <f>IF(AR75="","",AR75*762.02)</f>
        <v/>
      </c>
      <c r="AT75" s="7">
        <f>IF(AR75="","",IF(AR75&lt;=$C$3,"SÌ (ENTRO 8€/MQ)","NO (SOPRA SOGLIA -&gt; PROPORRE DDS)"))</f>
        <v/>
      </c>
    </row>
    <row r="76" ht="24" customHeight="1">
      <c r="A76" s="7" t="n">
        <v>71</v>
      </c>
      <c r="B76" s="32" t="inlineStr">
        <is>
          <t>PC-A1-071</t>
        </is>
      </c>
      <c r="C76" s="8" t="inlineStr">
        <is>
          <t>Aperta Campagna (Oltre Top 50)</t>
        </is>
      </c>
      <c r="D76" s="8" t="inlineStr">
        <is>
          <t>🔥 Priorità 1 · Top Taglia / Rete AT Vicina</t>
        </is>
      </c>
      <c r="E76" s="6" t="inlineStr">
        <is>
          <t>Cadeo</t>
        </is>
      </c>
      <c r="F76" s="7" t="inlineStr">
        <is>
          <t>B332</t>
        </is>
      </c>
      <c r="G76" s="7" t="n">
        <v>7</v>
      </c>
      <c r="H76" s="7" t="n">
        <v>79</v>
      </c>
      <c r="I76" s="52" t="n">
        <v>4.62</v>
      </c>
      <c r="J76" s="52" t="n">
        <v>4.62</v>
      </c>
      <c r="K76" s="53">
        <f>I76*13.1230</f>
        <v/>
      </c>
      <c r="L76" s="53">
        <f>J76*13.1230</f>
        <v/>
      </c>
      <c r="M76" s="7" t="inlineStr">
        <is>
          <t>A1</t>
        </is>
      </c>
      <c r="N76" s="54" t="n">
        <v>74</v>
      </c>
      <c r="O76" s="54" t="n">
        <v>68</v>
      </c>
      <c r="P76" s="7" t="n">
        <v>132</v>
      </c>
      <c r="Q76" s="8" t="inlineStr">
        <is>
          <t>Cadeo FS (132 kV)</t>
        </is>
      </c>
      <c r="R76" s="55" t="n">
        <v>2.8</v>
      </c>
      <c r="S76" s="8" t="inlineStr">
        <is>
          <t>CP Pontenure 132/15 kV</t>
        </is>
      </c>
      <c r="T76" s="54" t="n">
        <v>3640</v>
      </c>
      <c r="U76" s="11" t="n">
        <v>281600</v>
      </c>
      <c r="V76" s="56" t="n">
        <v>3.85</v>
      </c>
      <c r="W76" s="56" t="n">
        <v>3.85</v>
      </c>
      <c r="X76" s="54" t="n">
        <v>6132</v>
      </c>
      <c r="Y76" s="10" t="n">
        <v>5.45</v>
      </c>
      <c r="Z76" s="12" t="n">
        <v>5.75</v>
      </c>
      <c r="AA76" s="14">
        <f>Z76*762.02</f>
        <v/>
      </c>
      <c r="AB76" s="13">
        <f>I76*10000*Z76</f>
        <v/>
      </c>
      <c r="AC76" s="7" t="inlineStr">
        <is>
          <t>5.60-7.15</t>
        </is>
      </c>
      <c r="AD76" s="7" t="inlineStr">
        <is>
          <t>70-95</t>
        </is>
      </c>
      <c r="AE76" s="20" t="n">
        <v>7.2</v>
      </c>
      <c r="AF76" s="22">
        <f>AE76*762.02</f>
        <v/>
      </c>
      <c r="AG76" s="21">
        <f>I76*10000*AE76</f>
        <v/>
      </c>
      <c r="AH76" s="21">
        <f>I76*10000*$C$3</f>
        <v/>
      </c>
      <c r="AI76" s="11">
        <f>I76*640</f>
        <v/>
      </c>
      <c r="AJ76" s="57">
        <f>I76*3000</f>
        <v/>
      </c>
      <c r="AK76" s="57">
        <f>AJ76*30</f>
        <v/>
      </c>
      <c r="AL76" s="58" t="n">
        <v>80.5</v>
      </c>
      <c r="AM76" s="59" t="n">
        <v>44.993467</v>
      </c>
      <c r="AN76" s="59" t="n">
        <v>9.835876000000001</v>
      </c>
      <c r="AO76" s="60" t="inlineStr">
        <is>
          <t>Apri Google Maps</t>
        </is>
      </c>
      <c r="AP76" s="8" t="inlineStr">
        <is>
          <t>Linea AT 132 kV a ~68 m</t>
        </is>
      </c>
      <c r="AQ76" s="47" t="n"/>
      <c r="AR76" s="61" t="n"/>
      <c r="AS76" s="62">
        <f>IF(AR76="","",AR76*762.02)</f>
        <v/>
      </c>
      <c r="AT76" s="7">
        <f>IF(AR76="","",IF(AR76&lt;=$C$3,"SÌ (ENTRO 8€/MQ)","NO (SOPRA SOGLIA -&gt; PROPORRE DDS)"))</f>
        <v/>
      </c>
    </row>
    <row r="77" ht="24" customHeight="1">
      <c r="A77" s="7" t="n">
        <v>72</v>
      </c>
      <c r="B77" s="32" t="inlineStr">
        <is>
          <t>PC-A21-072</t>
        </is>
      </c>
      <c r="C77" s="8" t="inlineStr">
        <is>
          <t>Aperta Campagna (Oltre Top 50)</t>
        </is>
      </c>
      <c r="D77" s="8" t="inlineStr">
        <is>
          <t>🔥 Priorità 1 · Top Taglia / Rete AT Vicina</t>
        </is>
      </c>
      <c r="E77" s="6" t="inlineStr">
        <is>
          <t>Castel San Giovanni</t>
        </is>
      </c>
      <c r="F77" s="7" t="inlineStr">
        <is>
          <t>C261</t>
        </is>
      </c>
      <c r="G77" s="7" t="n">
        <v>8</v>
      </c>
      <c r="H77" s="7" t="n">
        <v>6</v>
      </c>
      <c r="I77" s="52" t="n">
        <v>5.17</v>
      </c>
      <c r="J77" s="52" t="n">
        <v>4.58</v>
      </c>
      <c r="K77" s="53">
        <f>I77*13.1230</f>
        <v/>
      </c>
      <c r="L77" s="53">
        <f>J77*13.1230</f>
        <v/>
      </c>
      <c r="M77" s="7" t="inlineStr">
        <is>
          <t>A21</t>
        </is>
      </c>
      <c r="N77" s="54" t="n">
        <v>8</v>
      </c>
      <c r="O77" s="54" t="n">
        <v>5</v>
      </c>
      <c r="P77" s="7" t="n">
        <v>132</v>
      </c>
      <c r="Q77" s="8" t="inlineStr">
        <is>
          <t>(senza nome) (132 kV)</t>
        </is>
      </c>
      <c r="R77" s="55" t="n">
        <v>7.5</v>
      </c>
      <c r="S77" s="8" t="inlineStr">
        <is>
          <t>CP Arena Po (AC001E01164)</t>
        </is>
      </c>
      <c r="T77" s="54" t="n">
        <v>4065</v>
      </c>
      <c r="U77" s="11" t="n">
        <v>309225</v>
      </c>
      <c r="V77" s="56" t="n">
        <v>4.31</v>
      </c>
      <c r="W77" s="56" t="n">
        <v>3.82</v>
      </c>
      <c r="X77" s="54" t="n">
        <v>6865</v>
      </c>
      <c r="Y77" s="10" t="n">
        <v>5.6</v>
      </c>
      <c r="Z77" s="12" t="n">
        <v>5.55</v>
      </c>
      <c r="AA77" s="14">
        <f>Z77*762.02</f>
        <v/>
      </c>
      <c r="AB77" s="13">
        <f>I77*10000*Z77</f>
        <v/>
      </c>
      <c r="AC77" s="7" t="inlineStr">
        <is>
          <t>5.30-6.80</t>
        </is>
      </c>
      <c r="AD77" s="7" t="inlineStr">
        <is>
          <t>110-150</t>
        </is>
      </c>
      <c r="AE77" s="20" t="n">
        <v>7.7</v>
      </c>
      <c r="AF77" s="22">
        <f>AE77*762.02</f>
        <v/>
      </c>
      <c r="AG77" s="21">
        <f>I77*10000*AE77</f>
        <v/>
      </c>
      <c r="AH77" s="21">
        <f>I77*10000*$C$3</f>
        <v/>
      </c>
      <c r="AI77" s="11">
        <f>I77*640</f>
        <v/>
      </c>
      <c r="AJ77" s="57">
        <f>I77*3000</f>
        <v/>
      </c>
      <c r="AK77" s="57">
        <f>AJ77*30</f>
        <v/>
      </c>
      <c r="AL77" s="58" t="n">
        <v>81.5</v>
      </c>
      <c r="AM77" s="59" t="n">
        <v>45.082224</v>
      </c>
      <c r="AN77" s="59" t="n">
        <v>9.418041000000001</v>
      </c>
      <c r="AO77" s="60" t="inlineStr">
        <is>
          <t>Apri Google Maps</t>
        </is>
      </c>
      <c r="AP77" s="8" t="inlineStr">
        <is>
          <t>Linea AT 132 kV sul fondo o al confine: condiziona il layout, ma la rete è vicina; 0,6 ha oltre i 300 m</t>
        </is>
      </c>
      <c r="AQ77" s="47" t="n"/>
      <c r="AR77" s="61" t="n"/>
      <c r="AS77" s="62">
        <f>IF(AR77="","",AR77*762.02)</f>
        <v/>
      </c>
      <c r="AT77" s="7">
        <f>IF(AR77="","",IF(AR77&lt;=$C$3,"SÌ (ENTRO 8€/MQ)","NO (SOPRA SOGLIA -&gt; PROPORRE DDS)"))</f>
        <v/>
      </c>
    </row>
    <row r="78" ht="24" customHeight="1">
      <c r="A78" s="7" t="n">
        <v>73</v>
      </c>
      <c r="B78" s="32" t="inlineStr">
        <is>
          <t>PC-A1-073</t>
        </is>
      </c>
      <c r="C78" s="8" t="inlineStr">
        <is>
          <t>Aperta Campagna (Oltre Top 50)</t>
        </is>
      </c>
      <c r="D78" s="8" t="inlineStr">
        <is>
          <t>🔥 Priorità 1 · Top Taglia / Rete AT Vicina</t>
        </is>
      </c>
      <c r="E78" s="6" t="inlineStr">
        <is>
          <t>Fiorenzuola d'Arda</t>
        </is>
      </c>
      <c r="F78" s="7" t="inlineStr">
        <is>
          <t>D611</t>
        </is>
      </c>
      <c r="G78" s="7" t="n">
        <v>9</v>
      </c>
      <c r="H78" s="7" t="n">
        <v>263</v>
      </c>
      <c r="I78" s="52" t="n">
        <v>4.53</v>
      </c>
      <c r="J78" s="52" t="n">
        <v>4.53</v>
      </c>
      <c r="K78" s="53">
        <f>I78*13.1230</f>
        <v/>
      </c>
      <c r="L78" s="53">
        <f>J78*13.1230</f>
        <v/>
      </c>
      <c r="M78" s="7" t="inlineStr">
        <is>
          <t>A1</t>
        </is>
      </c>
      <c r="N78" s="54" t="n">
        <v>21</v>
      </c>
      <c r="O78" s="54" t="n">
        <v>18</v>
      </c>
      <c r="P78" s="7" t="n">
        <v>132</v>
      </c>
      <c r="Q78" s="8" t="inlineStr">
        <is>
          <t>Fiorenzuola AV (132 kV)</t>
        </is>
      </c>
      <c r="R78" s="55" t="n">
        <v>2.4</v>
      </c>
      <c r="S78" s="8" t="inlineStr">
        <is>
          <t>CP Fiorenzuola d'Arda (AC001E01230)</t>
        </is>
      </c>
      <c r="T78" s="54" t="n">
        <v>3120</v>
      </c>
      <c r="U78" s="11" t="n">
        <v>247800</v>
      </c>
      <c r="V78" s="56" t="n">
        <v>3.78</v>
      </c>
      <c r="W78" s="56" t="n">
        <v>3.78</v>
      </c>
      <c r="X78" s="54" t="n">
        <v>6020</v>
      </c>
      <c r="Y78" s="10" t="n">
        <v>5.45</v>
      </c>
      <c r="Z78" s="12" t="n">
        <v>5.6</v>
      </c>
      <c r="AA78" s="14">
        <f>Z78*762.02</f>
        <v/>
      </c>
      <c r="AB78" s="13">
        <f>I78*10000*Z78</f>
        <v/>
      </c>
      <c r="AC78" s="7" t="inlineStr">
        <is>
          <t>5.50-6.80</t>
        </is>
      </c>
      <c r="AD78" s="7" t="inlineStr">
        <is>
          <t>80-116</t>
        </is>
      </c>
      <c r="AE78" s="20" t="n">
        <v>7.3</v>
      </c>
      <c r="AF78" s="22">
        <f>AE78*762.02</f>
        <v/>
      </c>
      <c r="AG78" s="21">
        <f>I78*10000*AE78</f>
        <v/>
      </c>
      <c r="AH78" s="21">
        <f>I78*10000*$C$3</f>
        <v/>
      </c>
      <c r="AI78" s="11">
        <f>I78*630</f>
        <v/>
      </c>
      <c r="AJ78" s="57">
        <f>I78*3000</f>
        <v/>
      </c>
      <c r="AK78" s="57">
        <f>AJ78*30</f>
        <v/>
      </c>
      <c r="AL78" s="58" t="n">
        <v>85.5</v>
      </c>
      <c r="AM78" s="59" t="n">
        <v>44.958663</v>
      </c>
      <c r="AN78" s="59" t="n">
        <v>9.917406</v>
      </c>
      <c r="AO78" s="60" t="inlineStr">
        <is>
          <t>Apri Google Maps</t>
        </is>
      </c>
      <c r="AP78" s="8" t="inlineStr">
        <is>
          <t>Linea AT 132 kV sul fondo o al confine: condiziona il layout, ma la rete è vicina</t>
        </is>
      </c>
      <c r="AQ78" s="47" t="n"/>
      <c r="AR78" s="61" t="n"/>
      <c r="AS78" s="62">
        <f>IF(AR78="","",AR78*762.02)</f>
        <v/>
      </c>
      <c r="AT78" s="7">
        <f>IF(AR78="","",IF(AR78&lt;=$C$3,"SÌ (ENTRO 8€/MQ)","NO (SOPRA SOGLIA -&gt; PROPORRE DDS)"))</f>
        <v/>
      </c>
    </row>
    <row r="79" ht="24" customHeight="1">
      <c r="A79" s="7" t="n">
        <v>74</v>
      </c>
      <c r="B79" s="32" t="inlineStr">
        <is>
          <t>PC-A21-074</t>
        </is>
      </c>
      <c r="C79" s="8" t="inlineStr">
        <is>
          <t>Aperta Campagna (Oltre Top 50)</t>
        </is>
      </c>
      <c r="D79" s="8" t="inlineStr">
        <is>
          <t>🔥 Priorità 1 · Top Taglia / Rete AT Vicina</t>
        </is>
      </c>
      <c r="E79" s="6" t="inlineStr">
        <is>
          <t>Monticelli d'Ongina</t>
        </is>
      </c>
      <c r="F79" s="7" t="inlineStr">
        <is>
          <t>F671</t>
        </is>
      </c>
      <c r="G79" s="7" t="n">
        <v>32</v>
      </c>
      <c r="H79" s="7" t="n">
        <v>10</v>
      </c>
      <c r="I79" s="52" t="n">
        <v>5.06</v>
      </c>
      <c r="J79" s="52" t="n">
        <v>4.5</v>
      </c>
      <c r="K79" s="53">
        <f>I79*13.1230</f>
        <v/>
      </c>
      <c r="L79" s="53">
        <f>J79*13.1230</f>
        <v/>
      </c>
      <c r="M79" s="7" t="inlineStr">
        <is>
          <t>A21</t>
        </is>
      </c>
      <c r="N79" s="54" t="n">
        <v>44</v>
      </c>
      <c r="O79" s="54" t="n">
        <v>17</v>
      </c>
      <c r="P79" s="7" t="n">
        <v>380</v>
      </c>
      <c r="Q79" s="8" t="inlineStr">
        <is>
          <t>Monticelli Ferrovia (132 kV)</t>
        </is>
      </c>
      <c r="R79" s="55" t="n">
        <v>1.4</v>
      </c>
      <c r="S79" s="8" t="inlineStr">
        <is>
          <t>CP Monticelli d'Ongina (AC001E01173)</t>
        </is>
      </c>
      <c r="T79" s="54" t="n">
        <v>1820</v>
      </c>
      <c r="U79" s="11" t="n">
        <v>163300</v>
      </c>
      <c r="V79" s="56" t="n">
        <v>4.22</v>
      </c>
      <c r="W79" s="56" t="n">
        <v>3.75</v>
      </c>
      <c r="X79" s="54" t="n">
        <v>6721</v>
      </c>
      <c r="Y79" s="10" t="n">
        <v>5.5</v>
      </c>
      <c r="Z79" s="12" t="n">
        <v>5.35</v>
      </c>
      <c r="AA79" s="14">
        <f>Z79*762.02</f>
        <v/>
      </c>
      <c r="AB79" s="13">
        <f>I79*10000*Z79</f>
        <v/>
      </c>
      <c r="AC79" s="7" t="inlineStr">
        <is>
          <t>5.15-6.35</t>
        </is>
      </c>
      <c r="AD79" s="7" t="inlineStr">
        <is>
          <t>55-80</t>
        </is>
      </c>
      <c r="AE79" s="20" t="n">
        <v>7.25</v>
      </c>
      <c r="AF79" s="22">
        <f>AE79*762.02</f>
        <v/>
      </c>
      <c r="AG79" s="21">
        <f>I79*10000*AE79</f>
        <v/>
      </c>
      <c r="AH79" s="21">
        <f>I79*10000*$C$3</f>
        <v/>
      </c>
      <c r="AI79" s="11">
        <f>I79*610</f>
        <v/>
      </c>
      <c r="AJ79" s="57">
        <f>I79*3000</f>
        <v/>
      </c>
      <c r="AK79" s="57">
        <f>AJ79*30</f>
        <v/>
      </c>
      <c r="AL79" s="58" t="n">
        <v>90.5</v>
      </c>
      <c r="AM79" s="59" t="n">
        <v>45.057976</v>
      </c>
      <c r="AN79" s="59" t="n">
        <v>9.93657</v>
      </c>
      <c r="AO79" s="60" t="inlineStr">
        <is>
          <t>Apri Google Maps</t>
        </is>
      </c>
      <c r="AP79" s="8" t="inlineStr">
        <is>
          <t>Linea AT 380 kV sul fondo o al confine: condiziona il layout, ma la rete è vicina; Stazione elettrica Monticelli Ferrovia a ~1,4 km; 0,6 ha oltre i 300 m</t>
        </is>
      </c>
      <c r="AQ79" s="47" t="n"/>
      <c r="AR79" s="61" t="n"/>
      <c r="AS79" s="62">
        <f>IF(AR79="","",AR79*762.02)</f>
        <v/>
      </c>
      <c r="AT79" s="7">
        <f>IF(AR79="","",IF(AR79&lt;=$C$3,"SÌ (ENTRO 8€/MQ)","NO (SOPRA SOGLIA -&gt; PROPORRE DDS)"))</f>
        <v/>
      </c>
    </row>
    <row r="80" ht="24" customHeight="1">
      <c r="A80" s="7" t="n">
        <v>75</v>
      </c>
      <c r="B80" s="32" t="inlineStr">
        <is>
          <t>PC-A21-075</t>
        </is>
      </c>
      <c r="C80" s="8" t="inlineStr">
        <is>
          <t>Aperta Campagna (Oltre Top 50)</t>
        </is>
      </c>
      <c r="D80" s="8" t="inlineStr">
        <is>
          <t>✅ Priorità 2 · Aperta Campagna Qualificata</t>
        </is>
      </c>
      <c r="E80" s="6" t="inlineStr">
        <is>
          <t>Rottofreno</t>
        </is>
      </c>
      <c r="F80" s="7" t="inlineStr">
        <is>
          <t>H593</t>
        </is>
      </c>
      <c r="G80" s="7" t="n">
        <v>22</v>
      </c>
      <c r="H80" s="7" t="n">
        <v>907</v>
      </c>
      <c r="I80" s="52" t="n">
        <v>5.3</v>
      </c>
      <c r="J80" s="52" t="n">
        <v>4.48</v>
      </c>
      <c r="K80" s="53">
        <f>I80*13.1230</f>
        <v/>
      </c>
      <c r="L80" s="53">
        <f>J80*13.1230</f>
        <v/>
      </c>
      <c r="M80" s="7" t="inlineStr">
        <is>
          <t>A21</t>
        </is>
      </c>
      <c r="N80" s="54" t="n">
        <v>115</v>
      </c>
      <c r="O80" s="54" t="n">
        <v>1519</v>
      </c>
      <c r="P80" s="7" t="n">
        <v>132</v>
      </c>
      <c r="Q80" s="8" t="inlineStr">
        <is>
          <t>Rottofreno (132 kV)</t>
        </is>
      </c>
      <c r="R80" s="55" t="n">
        <v>1.6</v>
      </c>
      <c r="S80" s="8" t="inlineStr">
        <is>
          <t>CP Rottofreno (AC001E01165)</t>
        </is>
      </c>
      <c r="T80" s="54" t="n">
        <v>853</v>
      </c>
      <c r="U80" s="11" t="n">
        <v>100445</v>
      </c>
      <c r="V80" s="56" t="n">
        <v>4.42</v>
      </c>
      <c r="W80" s="56" t="n">
        <v>3.73</v>
      </c>
      <c r="X80" s="54" t="n">
        <v>7040</v>
      </c>
      <c r="Y80" s="10" t="n">
        <v>5.65</v>
      </c>
      <c r="Z80" s="12" t="n">
        <v>5.65</v>
      </c>
      <c r="AA80" s="14">
        <f>Z80*762.02</f>
        <v/>
      </c>
      <c r="AB80" s="13">
        <f>I80*10000*Z80</f>
        <v/>
      </c>
      <c r="AC80" s="7" t="inlineStr">
        <is>
          <t>5.40-6.80</t>
        </is>
      </c>
      <c r="AD80" s="7" t="inlineStr">
        <is>
          <t>75-105</t>
        </is>
      </c>
      <c r="AE80" s="20" t="n">
        <v>7.5</v>
      </c>
      <c r="AF80" s="22">
        <f>AE80*762.02</f>
        <v/>
      </c>
      <c r="AG80" s="21">
        <f>I80*10000*AE80</f>
        <v/>
      </c>
      <c r="AH80" s="21">
        <f>I80*10000*$C$3</f>
        <v/>
      </c>
      <c r="AI80" s="11">
        <f>I80*650</f>
        <v/>
      </c>
      <c r="AJ80" s="57">
        <f>I80*3000</f>
        <v/>
      </c>
      <c r="AK80" s="57">
        <f>AJ80*30</f>
        <v/>
      </c>
      <c r="AL80" s="58" t="n">
        <v>94.5</v>
      </c>
      <c r="AM80" s="59" t="n">
        <v>45.062917</v>
      </c>
      <c r="AN80" s="59" t="n">
        <v>9.560313000000001</v>
      </c>
      <c r="AO80" s="60" t="inlineStr">
        <is>
          <t>Apri Google Maps</t>
        </is>
      </c>
      <c r="AP80" s="8" t="inlineStr">
        <is>
          <t>Area produttiva a ~319 m: verificare la destinazione urbanistica; 0,8 ha oltre i 300 m</t>
        </is>
      </c>
      <c r="AQ80" s="47" t="n"/>
      <c r="AR80" s="61" t="n"/>
      <c r="AS80" s="62">
        <f>IF(AR80="","",AR80*762.02)</f>
        <v/>
      </c>
      <c r="AT80" s="7">
        <f>IF(AR80="","",IF(AR80&lt;=$C$3,"SÌ (ENTRO 8€/MQ)","NO (SOPRA SOGLIA -&gt; PROPORRE DDS)"))</f>
        <v/>
      </c>
    </row>
    <row r="81" ht="24" customHeight="1">
      <c r="A81" s="7" t="n">
        <v>76</v>
      </c>
      <c r="B81" s="32" t="inlineStr">
        <is>
          <t>PC-A21-076</t>
        </is>
      </c>
      <c r="C81" s="8" t="inlineStr">
        <is>
          <t>Aperta Campagna (Oltre Top 50)</t>
        </is>
      </c>
      <c r="D81" s="8" t="inlineStr">
        <is>
          <t>✅ Priorità 2 · Aperta Campagna Qualificata</t>
        </is>
      </c>
      <c r="E81" s="6" t="inlineStr">
        <is>
          <t>Monticelli d'Ongina</t>
        </is>
      </c>
      <c r="F81" s="7" t="inlineStr">
        <is>
          <t>F671</t>
        </is>
      </c>
      <c r="G81" s="7" t="n">
        <v>32</v>
      </c>
      <c r="H81" s="7" t="n">
        <v>4</v>
      </c>
      <c r="I81" s="52" t="n">
        <v>5.24</v>
      </c>
      <c r="J81" s="52" t="n">
        <v>4.46</v>
      </c>
      <c r="K81" s="53">
        <f>I81*13.1230</f>
        <v/>
      </c>
      <c r="L81" s="53">
        <f>J81*13.1230</f>
        <v/>
      </c>
      <c r="M81" s="7" t="inlineStr">
        <is>
          <t>A21</t>
        </is>
      </c>
      <c r="N81" s="54" t="n">
        <v>102</v>
      </c>
      <c r="O81" s="54" t="n">
        <v>551</v>
      </c>
      <c r="P81" s="7" t="n">
        <v>380</v>
      </c>
      <c r="Q81" s="8" t="inlineStr">
        <is>
          <t>Monticelli Ferrovia (132 kV)</t>
        </is>
      </c>
      <c r="R81" s="55" t="n">
        <v>1.7</v>
      </c>
      <c r="S81" s="8" t="inlineStr">
        <is>
          <t>CP Monticelli d'Ongina (AC001E01173)</t>
        </is>
      </c>
      <c r="T81" s="54" t="n">
        <v>2210</v>
      </c>
      <c r="U81" s="11" t="n">
        <v>188650</v>
      </c>
      <c r="V81" s="56" t="n">
        <v>4.37</v>
      </c>
      <c r="W81" s="56" t="n">
        <v>3.72</v>
      </c>
      <c r="X81" s="54" t="n">
        <v>6960</v>
      </c>
      <c r="Y81" s="10" t="n">
        <v>5.5</v>
      </c>
      <c r="Z81" s="12" t="n">
        <v>5.35</v>
      </c>
      <c r="AA81" s="14">
        <f>Z81*762.02</f>
        <v/>
      </c>
      <c r="AB81" s="13">
        <f>I81*10000*Z81</f>
        <v/>
      </c>
      <c r="AC81" s="7" t="inlineStr">
        <is>
          <t>5.15-6.35</t>
        </is>
      </c>
      <c r="AD81" s="7" t="inlineStr">
        <is>
          <t>55-80</t>
        </is>
      </c>
      <c r="AE81" s="20" t="n">
        <v>7.25</v>
      </c>
      <c r="AF81" s="22">
        <f>AE81*762.02</f>
        <v/>
      </c>
      <c r="AG81" s="21">
        <f>I81*10000*AE81</f>
        <v/>
      </c>
      <c r="AH81" s="21">
        <f>I81*10000*$C$3</f>
        <v/>
      </c>
      <c r="AI81" s="11">
        <f>I81*610</f>
        <v/>
      </c>
      <c r="AJ81" s="57">
        <f>I81*3000</f>
        <v/>
      </c>
      <c r="AK81" s="57">
        <f>AJ81*30</f>
        <v/>
      </c>
      <c r="AL81" s="58" t="n">
        <v>84</v>
      </c>
      <c r="AM81" s="59" t="n">
        <v>45.06319</v>
      </c>
      <c r="AN81" s="59" t="n">
        <v>9.940367</v>
      </c>
      <c r="AO81" s="60" t="inlineStr">
        <is>
          <t>Apri Google Maps</t>
        </is>
      </c>
      <c r="AP81" s="8" t="inlineStr">
        <is>
          <t>Area cantiere a ~341 m: verificare la destinazione urbanistica; 0,8 ha oltre i 300 m</t>
        </is>
      </c>
      <c r="AQ81" s="47" t="n"/>
      <c r="AR81" s="61" t="n"/>
      <c r="AS81" s="62">
        <f>IF(AR81="","",AR81*762.02)</f>
        <v/>
      </c>
      <c r="AT81" s="7">
        <f>IF(AR81="","",IF(AR81&lt;=$C$3,"SÌ (ENTRO 8€/MQ)","NO (SOPRA SOGLIA -&gt; PROPORRE DDS)"))</f>
        <v/>
      </c>
    </row>
    <row r="82" ht="24" customHeight="1">
      <c r="A82" s="7" t="n">
        <v>77</v>
      </c>
      <c r="B82" s="32" t="inlineStr">
        <is>
          <t>PC-A1-077</t>
        </is>
      </c>
      <c r="C82" s="8" t="inlineStr">
        <is>
          <t>Aperta Campagna (Oltre Top 50)</t>
        </is>
      </c>
      <c r="D82" s="8" t="inlineStr">
        <is>
          <t>✅ Priorità 2 · Aperta Campagna Qualificata</t>
        </is>
      </c>
      <c r="E82" s="6" t="inlineStr">
        <is>
          <t>Fiorenzuola d'Arda</t>
        </is>
      </c>
      <c r="F82" s="7" t="inlineStr">
        <is>
          <t>D611</t>
        </is>
      </c>
      <c r="G82" s="7" t="n">
        <v>21</v>
      </c>
      <c r="H82" s="7" t="n">
        <v>187</v>
      </c>
      <c r="I82" s="52" t="n">
        <v>4.96</v>
      </c>
      <c r="J82" s="52" t="n">
        <v>4.44</v>
      </c>
      <c r="K82" s="53">
        <f>I82*13.1230</f>
        <v/>
      </c>
      <c r="L82" s="53">
        <f>J82*13.1230</f>
        <v/>
      </c>
      <c r="M82" s="7" t="inlineStr">
        <is>
          <t>A1</t>
        </is>
      </c>
      <c r="N82" s="54" t="n">
        <v>34</v>
      </c>
      <c r="O82" s="54" t="n">
        <v>306</v>
      </c>
      <c r="P82" s="7" t="n">
        <v>132</v>
      </c>
      <c r="Q82" s="8" t="inlineStr">
        <is>
          <t>Cortemaggiore (132 kV)</t>
        </is>
      </c>
      <c r="R82" s="55" t="n">
        <v>7.6</v>
      </c>
      <c r="S82" s="8" t="inlineStr">
        <is>
          <t>CP Fiorenzuola d'Arda (AC001E01230)</t>
        </is>
      </c>
      <c r="T82" s="54" t="n">
        <v>6990</v>
      </c>
      <c r="U82" s="11" t="n">
        <v>499350</v>
      </c>
      <c r="V82" s="56" t="n">
        <v>4.13</v>
      </c>
      <c r="W82" s="56" t="n">
        <v>3.7</v>
      </c>
      <c r="X82" s="54" t="n">
        <v>6578</v>
      </c>
      <c r="Y82" s="10" t="n">
        <v>5.45</v>
      </c>
      <c r="Z82" s="12" t="n">
        <v>5.6</v>
      </c>
      <c r="AA82" s="14">
        <f>Z82*762.02</f>
        <v/>
      </c>
      <c r="AB82" s="13">
        <f>I82*10000*Z82</f>
        <v/>
      </c>
      <c r="AC82" s="7" t="inlineStr">
        <is>
          <t>5.50-6.80</t>
        </is>
      </c>
      <c r="AD82" s="7" t="inlineStr">
        <is>
          <t>80-116</t>
        </is>
      </c>
      <c r="AE82" s="20" t="n">
        <v>7.3</v>
      </c>
      <c r="AF82" s="22">
        <f>AE82*762.02</f>
        <v/>
      </c>
      <c r="AG82" s="21">
        <f>I82*10000*AE82</f>
        <v/>
      </c>
      <c r="AH82" s="21">
        <f>I82*10000*$C$3</f>
        <v/>
      </c>
      <c r="AI82" s="11">
        <f>I82*630</f>
        <v/>
      </c>
      <c r="AJ82" s="57">
        <f>I82*3000</f>
        <v/>
      </c>
      <c r="AK82" s="57">
        <f>AJ82*30</f>
        <v/>
      </c>
      <c r="AL82" s="58" t="n">
        <v>74</v>
      </c>
      <c r="AM82" s="59" t="n">
        <v>44.941347</v>
      </c>
      <c r="AN82" s="59" t="n">
        <v>9.950054</v>
      </c>
      <c r="AO82" s="60" t="inlineStr">
        <is>
          <t>Apri Google Maps</t>
        </is>
      </c>
      <c r="AP82" s="8" t="inlineStr">
        <is>
          <t>0,5 ha oltre i 300 m</t>
        </is>
      </c>
      <c r="AQ82" s="47" t="n"/>
      <c r="AR82" s="61" t="n"/>
      <c r="AS82" s="62">
        <f>IF(AR82="","",AR82*762.02)</f>
        <v/>
      </c>
      <c r="AT82" s="7">
        <f>IF(AR82="","",IF(AR82&lt;=$C$3,"SÌ (ENTRO 8€/MQ)","NO (SOPRA SOGLIA -&gt; PROPORRE DDS)"))</f>
        <v/>
      </c>
    </row>
    <row r="83" ht="24" customHeight="1">
      <c r="A83" s="7" t="n">
        <v>78</v>
      </c>
      <c r="B83" s="32" t="inlineStr">
        <is>
          <t>PC-A21-078</t>
        </is>
      </c>
      <c r="C83" s="8" t="inlineStr">
        <is>
          <t>Aperta Campagna (Oltre Top 50)</t>
        </is>
      </c>
      <c r="D83" s="8" t="inlineStr">
        <is>
          <t>🔥 Priorità 1 · Top Taglia / Rete AT Vicina</t>
        </is>
      </c>
      <c r="E83" s="6" t="inlineStr">
        <is>
          <t>Sarmato</t>
        </is>
      </c>
      <c r="F83" s="7" t="inlineStr">
        <is>
          <t>I434</t>
        </is>
      </c>
      <c r="G83" s="7" t="n">
        <v>9</v>
      </c>
      <c r="H83" s="7" t="n">
        <v>10</v>
      </c>
      <c r="I83" s="52" t="n">
        <v>4.66</v>
      </c>
      <c r="J83" s="52" t="n">
        <v>4.44</v>
      </c>
      <c r="K83" s="53">
        <f>I83*13.1230</f>
        <v/>
      </c>
      <c r="L83" s="53">
        <f>J83*13.1230</f>
        <v/>
      </c>
      <c r="M83" s="7" t="inlineStr">
        <is>
          <t>A21</t>
        </is>
      </c>
      <c r="N83" s="54" t="n">
        <v>117</v>
      </c>
      <c r="O83" s="54" t="n">
        <v>619</v>
      </c>
      <c r="P83" s="7" t="n">
        <v>132</v>
      </c>
      <c r="Q83" s="8" t="inlineStr">
        <is>
          <t>Sarmato FS (132 kV)</t>
        </is>
      </c>
      <c r="R83" s="55" t="n">
        <v>1.1</v>
      </c>
      <c r="S83" s="8" t="inlineStr">
        <is>
          <t>CP Rottofreno (AC001E01165)</t>
        </is>
      </c>
      <c r="T83" s="54" t="n">
        <v>1430</v>
      </c>
      <c r="U83" s="11" t="n">
        <v>137950</v>
      </c>
      <c r="V83" s="56" t="n">
        <v>3.88</v>
      </c>
      <c r="W83" s="56" t="n">
        <v>3.7</v>
      </c>
      <c r="X83" s="54" t="n">
        <v>6180</v>
      </c>
      <c r="Y83" s="10" t="n">
        <v>5.6</v>
      </c>
      <c r="Z83" s="12" t="n">
        <v>5.5</v>
      </c>
      <c r="AA83" s="14">
        <f>Z83*762.02</f>
        <v/>
      </c>
      <c r="AB83" s="13">
        <f>I83*10000*Z83</f>
        <v/>
      </c>
      <c r="AC83" s="7" t="inlineStr">
        <is>
          <t>5.30-6.50</t>
        </is>
      </c>
      <c r="AD83" s="7" t="inlineStr">
        <is>
          <t>70-95</t>
        </is>
      </c>
      <c r="AE83" s="20" t="n">
        <v>7.3</v>
      </c>
      <c r="AF83" s="22">
        <f>AE83*762.02</f>
        <v/>
      </c>
      <c r="AG83" s="21">
        <f>I83*10000*AE83</f>
        <v/>
      </c>
      <c r="AH83" s="21">
        <f>I83*10000*$C$3</f>
        <v/>
      </c>
      <c r="AI83" s="11">
        <f>I83*620</f>
        <v/>
      </c>
      <c r="AJ83" s="57">
        <f>I83*3000</f>
        <v/>
      </c>
      <c r="AK83" s="57">
        <f>AJ83*30</f>
        <v/>
      </c>
      <c r="AL83" s="58" t="n">
        <v>89.5</v>
      </c>
      <c r="AM83" s="59" t="n">
        <v>45.072668</v>
      </c>
      <c r="AN83" s="59" t="n">
        <v>9.491939</v>
      </c>
      <c r="AO83" s="60" t="inlineStr">
        <is>
          <t>Apri Google Maps</t>
        </is>
      </c>
      <c r="AP83" s="8" t="inlineStr">
        <is>
          <t>Stazione elettrica Sarmato FS a ~1,1 km</t>
        </is>
      </c>
      <c r="AQ83" s="47" t="n"/>
      <c r="AR83" s="61" t="n"/>
      <c r="AS83" s="62">
        <f>IF(AR83="","",AR83*762.02)</f>
        <v/>
      </c>
      <c r="AT83" s="7">
        <f>IF(AR83="","",IF(AR83&lt;=$C$3,"SÌ (ENTRO 8€/MQ)","NO (SOPRA SOGLIA -&gt; PROPORRE DDS)"))</f>
        <v/>
      </c>
    </row>
    <row r="84" ht="24" customHeight="1">
      <c r="A84" s="7" t="n">
        <v>79</v>
      </c>
      <c r="B84" s="32" t="inlineStr">
        <is>
          <t>PC-A21-079</t>
        </is>
      </c>
      <c r="C84" s="8" t="inlineStr">
        <is>
          <t>Aperta Campagna (Oltre Top 50)</t>
        </is>
      </c>
      <c r="D84" s="8" t="inlineStr">
        <is>
          <t>🔥 Priorità 1 · Top Taglia / Rete AT Vicina</t>
        </is>
      </c>
      <c r="E84" s="6" t="inlineStr">
        <is>
          <t>Monticelli d'Ongina</t>
        </is>
      </c>
      <c r="F84" s="7" t="inlineStr">
        <is>
          <t>F671</t>
        </is>
      </c>
      <c r="G84" s="7" t="n">
        <v>32</v>
      </c>
      <c r="H84" s="7" t="n">
        <v>3</v>
      </c>
      <c r="I84" s="52" t="n">
        <v>4.44</v>
      </c>
      <c r="J84" s="52" t="n">
        <v>4.44</v>
      </c>
      <c r="K84" s="53">
        <f>I84*13.1230</f>
        <v/>
      </c>
      <c r="L84" s="53">
        <f>J84*13.1230</f>
        <v/>
      </c>
      <c r="M84" s="7" t="inlineStr">
        <is>
          <t>A21</t>
        </is>
      </c>
      <c r="N84" s="54" t="n">
        <v>11</v>
      </c>
      <c r="O84" s="54" t="n">
        <v>304</v>
      </c>
      <c r="P84" s="7" t="n">
        <v>380</v>
      </c>
      <c r="Q84" s="8" t="inlineStr">
        <is>
          <t>Monticelli Ferrovia (132 kV)</t>
        </is>
      </c>
      <c r="R84" s="55" t="n">
        <v>1.2</v>
      </c>
      <c r="S84" s="8" t="inlineStr">
        <is>
          <t>CP Monticelli d'Ongina (AC001E01173)</t>
        </is>
      </c>
      <c r="T84" s="54" t="n">
        <v>1560</v>
      </c>
      <c r="U84" s="11" t="n">
        <v>146400</v>
      </c>
      <c r="V84" s="56" t="n">
        <v>3.7</v>
      </c>
      <c r="W84" s="56" t="n">
        <v>3.7</v>
      </c>
      <c r="X84" s="54" t="n">
        <v>5893</v>
      </c>
      <c r="Y84" s="10" t="n">
        <v>5.5</v>
      </c>
      <c r="Z84" s="12" t="n">
        <v>5.35</v>
      </c>
      <c r="AA84" s="14">
        <f>Z84*762.02</f>
        <v/>
      </c>
      <c r="AB84" s="13">
        <f>I84*10000*Z84</f>
        <v/>
      </c>
      <c r="AC84" s="7" t="inlineStr">
        <is>
          <t>5.15-6.35</t>
        </is>
      </c>
      <c r="AD84" s="7" t="inlineStr">
        <is>
          <t>55-80</t>
        </is>
      </c>
      <c r="AE84" s="20" t="n">
        <v>7.25</v>
      </c>
      <c r="AF84" s="22">
        <f>AE84*762.02</f>
        <v/>
      </c>
      <c r="AG84" s="21">
        <f>I84*10000*AE84</f>
        <v/>
      </c>
      <c r="AH84" s="21">
        <f>I84*10000*$C$3</f>
        <v/>
      </c>
      <c r="AI84" s="11">
        <f>I84*610</f>
        <v/>
      </c>
      <c r="AJ84" s="57">
        <f>I84*3000</f>
        <v/>
      </c>
      <c r="AK84" s="57">
        <f>AJ84*30</f>
        <v/>
      </c>
      <c r="AL84" s="58" t="n">
        <v>89.5</v>
      </c>
      <c r="AM84" s="59" t="n">
        <v>45.060834</v>
      </c>
      <c r="AN84" s="59" t="n">
        <v>9.934042</v>
      </c>
      <c r="AO84" s="60" t="inlineStr">
        <is>
          <t>Apri Google Maps</t>
        </is>
      </c>
      <c r="AP84" s="8" t="inlineStr">
        <is>
          <t>Stazione elettrica Monticelli Ferrovia a ~1,2 km</t>
        </is>
      </c>
      <c r="AQ84" s="47" t="n"/>
      <c r="AR84" s="61" t="n"/>
      <c r="AS84" s="62">
        <f>IF(AR84="","",AR84*762.02)</f>
        <v/>
      </c>
      <c r="AT84" s="7">
        <f>IF(AR84="","",IF(AR84&lt;=$C$3,"SÌ (ENTRO 8€/MQ)","NO (SOPRA SOGLIA -&gt; PROPORRE DDS)"))</f>
        <v/>
      </c>
    </row>
    <row r="85" ht="24" customHeight="1">
      <c r="A85" s="7" t="n">
        <v>80</v>
      </c>
      <c r="B85" s="32" t="inlineStr">
        <is>
          <t>PC-A21-080</t>
        </is>
      </c>
      <c r="C85" s="8" t="inlineStr">
        <is>
          <t>Aperta Campagna (Oltre Top 50)</t>
        </is>
      </c>
      <c r="D85" s="8" t="inlineStr">
        <is>
          <t>✅ Priorità 2 · Aperta Campagna Qualificata</t>
        </is>
      </c>
      <c r="E85" s="6" t="inlineStr">
        <is>
          <t>Rottofreno</t>
        </is>
      </c>
      <c r="F85" s="7" t="inlineStr">
        <is>
          <t>H593</t>
        </is>
      </c>
      <c r="G85" s="7" t="n">
        <v>13</v>
      </c>
      <c r="H85" s="7" t="n">
        <v>66</v>
      </c>
      <c r="I85" s="52" t="n">
        <v>4.41</v>
      </c>
      <c r="J85" s="52" t="n">
        <v>4.41</v>
      </c>
      <c r="K85" s="53">
        <f>I85*13.1230</f>
        <v/>
      </c>
      <c r="L85" s="53">
        <f>J85*13.1230</f>
        <v/>
      </c>
      <c r="M85" s="7" t="inlineStr">
        <is>
          <t>A21</t>
        </is>
      </c>
      <c r="N85" s="54" t="n">
        <v>14</v>
      </c>
      <c r="O85" s="54" t="n">
        <v>1562</v>
      </c>
      <c r="P85" s="7" t="n">
        <v>132</v>
      </c>
      <c r="Q85" s="8" t="inlineStr">
        <is>
          <t>Rottofreno (132 kV)</t>
        </is>
      </c>
      <c r="R85" s="55" t="n">
        <v>2.2</v>
      </c>
      <c r="S85" s="8" t="inlineStr">
        <is>
          <t>CP Rottofreno (AC001E01165)</t>
        </is>
      </c>
      <c r="T85" s="54" t="n">
        <v>1513</v>
      </c>
      <c r="U85" s="11" t="n">
        <v>143345</v>
      </c>
      <c r="V85" s="56" t="n">
        <v>3.68</v>
      </c>
      <c r="W85" s="56" t="n">
        <v>3.68</v>
      </c>
      <c r="X85" s="54" t="n">
        <v>5861</v>
      </c>
      <c r="Y85" s="10" t="n">
        <v>5.65</v>
      </c>
      <c r="Z85" s="12" t="n">
        <v>5.65</v>
      </c>
      <c r="AA85" s="14">
        <f>Z85*762.02</f>
        <v/>
      </c>
      <c r="AB85" s="13">
        <f>I85*10000*Z85</f>
        <v/>
      </c>
      <c r="AC85" s="7" t="inlineStr">
        <is>
          <t>5.40-6.80</t>
        </is>
      </c>
      <c r="AD85" s="7" t="inlineStr">
        <is>
          <t>75-105</t>
        </is>
      </c>
      <c r="AE85" s="20" t="n">
        <v>7.5</v>
      </c>
      <c r="AF85" s="22">
        <f>AE85*762.02</f>
        <v/>
      </c>
      <c r="AG85" s="21">
        <f>I85*10000*AE85</f>
        <v/>
      </c>
      <c r="AH85" s="21">
        <f>I85*10000*$C$3</f>
        <v/>
      </c>
      <c r="AI85" s="11">
        <f>I85*650</f>
        <v/>
      </c>
      <c r="AJ85" s="57">
        <f>I85*3000</f>
        <v/>
      </c>
      <c r="AK85" s="57">
        <f>AJ85*30</f>
        <v/>
      </c>
      <c r="AL85" s="58" t="n">
        <v>89.5</v>
      </c>
      <c r="AM85" s="59" t="n">
        <v>45.064337</v>
      </c>
      <c r="AN85" s="59" t="n">
        <v>9.552918999999999</v>
      </c>
      <c r="AO85" s="60" t="inlineStr">
        <is>
          <t>Apri Google Maps</t>
        </is>
      </c>
      <c r="AP85" s="8" t="inlineStr">
        <is>
          <t>Seminativo aperto in fascia autostradale ≤300m D.Lgs. 199/2021</t>
        </is>
      </c>
      <c r="AQ85" s="47" t="n"/>
      <c r="AR85" s="61" t="n"/>
      <c r="AS85" s="62">
        <f>IF(AR85="","",AR85*762.02)</f>
        <v/>
      </c>
      <c r="AT85" s="7">
        <f>IF(AR85="","",IF(AR85&lt;=$C$3,"SÌ (ENTRO 8€/MQ)","NO (SOPRA SOGLIA -&gt; PROPORRE DDS)"))</f>
        <v/>
      </c>
    </row>
    <row r="86" ht="24" customHeight="1">
      <c r="A86" s="7" t="n">
        <v>81</v>
      </c>
      <c r="B86" s="32" t="inlineStr">
        <is>
          <t>PC-A21-081</t>
        </is>
      </c>
      <c r="C86" s="8" t="inlineStr">
        <is>
          <t>Aperta Campagna (Oltre Top 50)</t>
        </is>
      </c>
      <c r="D86" s="8" t="inlineStr">
        <is>
          <t>✅ Priorità 2 · Aperta Campagna Qualificata</t>
        </is>
      </c>
      <c r="E86" s="6" t="inlineStr">
        <is>
          <t>Castelvetro Piacentino</t>
        </is>
      </c>
      <c r="F86" s="7" t="inlineStr">
        <is>
          <t>C288</t>
        </is>
      </c>
      <c r="G86" s="7" t="n">
        <v>16</v>
      </c>
      <c r="H86" s="7" t="n">
        <v>67</v>
      </c>
      <c r="I86" s="52" t="n">
        <v>4.71</v>
      </c>
      <c r="J86" s="52" t="n">
        <v>4.39</v>
      </c>
      <c r="K86" s="53">
        <f>I86*13.1230</f>
        <v/>
      </c>
      <c r="L86" s="53">
        <f>J86*13.1230</f>
        <v/>
      </c>
      <c r="M86" s="7" t="inlineStr">
        <is>
          <t>A21</t>
        </is>
      </c>
      <c r="N86" s="54" t="n">
        <v>82</v>
      </c>
      <c r="O86" s="54" t="n">
        <v>2326</v>
      </c>
      <c r="P86" s="7" t="n">
        <v>380</v>
      </c>
      <c r="Q86" s="8" t="inlineStr">
        <is>
          <t>Cortemaggiore (132 kV)</t>
        </is>
      </c>
      <c r="R86" s="55" t="n">
        <v>8.6</v>
      </c>
      <c r="S86" s="8" t="inlineStr">
        <is>
          <t>CP Monticelli d'Ongina (AC001E01173)</t>
        </is>
      </c>
      <c r="T86" s="54" t="n">
        <v>6603</v>
      </c>
      <c r="U86" s="11" t="n">
        <v>474195</v>
      </c>
      <c r="V86" s="56" t="n">
        <v>3.93</v>
      </c>
      <c r="W86" s="56" t="n">
        <v>3.66</v>
      </c>
      <c r="X86" s="54" t="n">
        <v>6259</v>
      </c>
      <c r="Y86" s="10" t="n">
        <v>5.5</v>
      </c>
      <c r="Z86" s="12" t="n">
        <v>5.3</v>
      </c>
      <c r="AA86" s="14">
        <f>Z86*762.02</f>
        <v/>
      </c>
      <c r="AB86" s="13">
        <f>I86*10000*Z86</f>
        <v/>
      </c>
      <c r="AC86" s="7" t="inlineStr">
        <is>
          <t>5.10-6.30</t>
        </is>
      </c>
      <c r="AD86" s="7" t="inlineStr">
        <is>
          <t>60-85</t>
        </is>
      </c>
      <c r="AE86" s="20" t="n">
        <v>7.15</v>
      </c>
      <c r="AF86" s="22">
        <f>AE86*762.02</f>
        <v/>
      </c>
      <c r="AG86" s="21">
        <f>I86*10000*AE86</f>
        <v/>
      </c>
      <c r="AH86" s="21">
        <f>I86*10000*$C$3</f>
        <v/>
      </c>
      <c r="AI86" s="11">
        <f>I86*600</f>
        <v/>
      </c>
      <c r="AJ86" s="57">
        <f>I86*3000</f>
        <v/>
      </c>
      <c r="AK86" s="57">
        <f>AJ86*30</f>
        <v/>
      </c>
      <c r="AL86" s="58" t="n">
        <v>74</v>
      </c>
      <c r="AM86" s="59" t="n">
        <v>45.0799</v>
      </c>
      <c r="AN86" s="59" t="n">
        <v>9.972448</v>
      </c>
      <c r="AO86" s="60" t="inlineStr">
        <is>
          <t>Apri Google Maps</t>
        </is>
      </c>
      <c r="AP86" s="8" t="inlineStr">
        <is>
          <t>Seminativo aperto in fascia autostradale ≤300m D.Lgs. 199/2021</t>
        </is>
      </c>
      <c r="AQ86" s="47" t="n"/>
      <c r="AR86" s="61" t="n"/>
      <c r="AS86" s="62">
        <f>IF(AR86="","",AR86*762.02)</f>
        <v/>
      </c>
      <c r="AT86" s="7">
        <f>IF(AR86="","",IF(AR86&lt;=$C$3,"SÌ (ENTRO 8€/MQ)","NO (SOPRA SOGLIA -&gt; PROPORRE DDS)"))</f>
        <v/>
      </c>
    </row>
    <row r="87" ht="24" customHeight="1">
      <c r="A87" s="7" t="n">
        <v>82</v>
      </c>
      <c r="B87" s="32" t="inlineStr">
        <is>
          <t>PC-A21-082</t>
        </is>
      </c>
      <c r="C87" s="8" t="inlineStr">
        <is>
          <t>Aperta Campagna (Oltre Top 50)</t>
        </is>
      </c>
      <c r="D87" s="8" t="inlineStr">
        <is>
          <t>✅ Priorità 2 · Aperta Campagna Qualificata</t>
        </is>
      </c>
      <c r="E87" s="6" t="inlineStr">
        <is>
          <t>Castel San Giovanni</t>
        </is>
      </c>
      <c r="F87" s="7" t="inlineStr">
        <is>
          <t>C261</t>
        </is>
      </c>
      <c r="G87" s="7" t="n">
        <v>8</v>
      </c>
      <c r="H87" s="7" t="n">
        <v>228</v>
      </c>
      <c r="I87" s="52" t="n">
        <v>4.37</v>
      </c>
      <c r="J87" s="52" t="n">
        <v>4.37</v>
      </c>
      <c r="K87" s="53">
        <f>I87*13.1230</f>
        <v/>
      </c>
      <c r="L87" s="53">
        <f>J87*13.1230</f>
        <v/>
      </c>
      <c r="M87" s="7" t="inlineStr">
        <is>
          <t>A21</t>
        </is>
      </c>
      <c r="N87" s="54" t="n">
        <v>17</v>
      </c>
      <c r="O87" s="54" t="n">
        <v>293</v>
      </c>
      <c r="P87" s="7" t="n">
        <v>132</v>
      </c>
      <c r="Q87" s="8" t="inlineStr">
        <is>
          <t>(senza nome) (132 kV)</t>
        </is>
      </c>
      <c r="R87" s="55" t="n">
        <v>7</v>
      </c>
      <c r="S87" s="8" t="inlineStr">
        <is>
          <t>CP Arena Po (AC001E01164)</t>
        </is>
      </c>
      <c r="T87" s="54" t="n">
        <v>4556</v>
      </c>
      <c r="U87" s="11" t="n">
        <v>341140</v>
      </c>
      <c r="V87" s="56" t="n">
        <v>3.64</v>
      </c>
      <c r="W87" s="56" t="n">
        <v>3.64</v>
      </c>
      <c r="X87" s="54" t="n">
        <v>5797</v>
      </c>
      <c r="Y87" s="10" t="n">
        <v>5.6</v>
      </c>
      <c r="Z87" s="12" t="n">
        <v>5.55</v>
      </c>
      <c r="AA87" s="14">
        <f>Z87*762.02</f>
        <v/>
      </c>
      <c r="AB87" s="13">
        <f>I87*10000*Z87</f>
        <v/>
      </c>
      <c r="AC87" s="7" t="inlineStr">
        <is>
          <t>5.30-6.80</t>
        </is>
      </c>
      <c r="AD87" s="7" t="inlineStr">
        <is>
          <t>110-150</t>
        </is>
      </c>
      <c r="AE87" s="20" t="n">
        <v>7.7</v>
      </c>
      <c r="AF87" s="22">
        <f>AE87*762.02</f>
        <v/>
      </c>
      <c r="AG87" s="21">
        <f>I87*10000*AE87</f>
        <v/>
      </c>
      <c r="AH87" s="21">
        <f>I87*10000*$C$3</f>
        <v/>
      </c>
      <c r="AI87" s="11">
        <f>I87*640</f>
        <v/>
      </c>
      <c r="AJ87" s="57">
        <f>I87*3000</f>
        <v/>
      </c>
      <c r="AK87" s="57">
        <f>AJ87*30</f>
        <v/>
      </c>
      <c r="AL87" s="58" t="n">
        <v>74</v>
      </c>
      <c r="AM87" s="59" t="n">
        <v>45.078878</v>
      </c>
      <c r="AN87" s="59" t="n">
        <v>9.422779999999999</v>
      </c>
      <c r="AO87" s="60" t="inlineStr">
        <is>
          <t>Apri Google Maps</t>
        </is>
      </c>
      <c r="AP87" s="8" t="inlineStr">
        <is>
          <t>Linea AT 132 kV a ~293 m</t>
        </is>
      </c>
      <c r="AQ87" s="47" t="n"/>
      <c r="AR87" s="61" t="n"/>
      <c r="AS87" s="62">
        <f>IF(AR87="","",AR87*762.02)</f>
        <v/>
      </c>
      <c r="AT87" s="7">
        <f>IF(AR87="","",IF(AR87&lt;=$C$3,"SÌ (ENTRO 8€/MQ)","NO (SOPRA SOGLIA -&gt; PROPORRE DDS)"))</f>
        <v/>
      </c>
    </row>
    <row r="88" ht="24" customHeight="1">
      <c r="A88" s="7" t="n">
        <v>83</v>
      </c>
      <c r="B88" s="32" t="inlineStr">
        <is>
          <t>PC-A21-083</t>
        </is>
      </c>
      <c r="C88" s="8" t="inlineStr">
        <is>
          <t>Estensione WMS AdE (Griglia Sfalsata)</t>
        </is>
      </c>
      <c r="D88" s="8" t="inlineStr">
        <is>
          <t>✅ Priorità 2 · Aperta Campagna Qualificata</t>
        </is>
      </c>
      <c r="E88" s="6" t="inlineStr">
        <is>
          <t>Rottofreno</t>
        </is>
      </c>
      <c r="F88" s="7" t="inlineStr">
        <is>
          <t>H593</t>
        </is>
      </c>
      <c r="G88" s="7" t="n">
        <v>12</v>
      </c>
      <c r="H88" s="7" t="n">
        <v>57</v>
      </c>
      <c r="I88" s="52" t="n">
        <v>14.17</v>
      </c>
      <c r="J88" s="52" t="n">
        <v>4.33</v>
      </c>
      <c r="K88" s="53">
        <f>I88*13.1230</f>
        <v/>
      </c>
      <c r="L88" s="53">
        <f>J88*13.1230</f>
        <v/>
      </c>
      <c r="M88" s="7" t="inlineStr">
        <is>
          <t>A21</t>
        </is>
      </c>
      <c r="N88" s="54" t="n">
        <v>64</v>
      </c>
      <c r="O88" s="54" t="n">
        <v>947</v>
      </c>
      <c r="P88" s="7" t="n">
        <v>132</v>
      </c>
      <c r="Q88" s="8" t="inlineStr">
        <is>
          <t>Rottofreno (132 kV)</t>
        </is>
      </c>
      <c r="R88" s="55" t="n">
        <v>2.9</v>
      </c>
      <c r="S88" s="8" t="inlineStr">
        <is>
          <t>CP Rottofreno (AC001E01165)</t>
        </is>
      </c>
      <c r="T88" s="54" t="n">
        <v>2320</v>
      </c>
      <c r="U88" s="11" t="n">
        <v>195800</v>
      </c>
      <c r="V88" s="56" t="n">
        <v>11.81</v>
      </c>
      <c r="W88" s="56" t="n">
        <v>3.61</v>
      </c>
      <c r="X88" s="54" t="n">
        <v>18810</v>
      </c>
      <c r="Y88" s="10" t="n">
        <v>5.65</v>
      </c>
      <c r="Z88" s="12" t="n">
        <v>5.65</v>
      </c>
      <c r="AA88" s="14">
        <f>Z88*762.02</f>
        <v/>
      </c>
      <c r="AB88" s="13">
        <f>I88*10000*Z88</f>
        <v/>
      </c>
      <c r="AC88" s="7" t="inlineStr">
        <is>
          <t>5.40-6.80</t>
        </is>
      </c>
      <c r="AD88" s="7" t="inlineStr">
        <is>
          <t>75-105</t>
        </is>
      </c>
      <c r="AE88" s="20" t="n">
        <v>7.5</v>
      </c>
      <c r="AF88" s="22">
        <f>AE88*762.02</f>
        <v/>
      </c>
      <c r="AG88" s="21">
        <f>I88*10000*AE88</f>
        <v/>
      </c>
      <c r="AH88" s="21">
        <f>I88*10000*$C$3</f>
        <v/>
      </c>
      <c r="AI88" s="11">
        <f>I88*650</f>
        <v/>
      </c>
      <c r="AJ88" s="57">
        <f>I88*3000</f>
        <v/>
      </c>
      <c r="AK88" s="57">
        <f>AJ88*30</f>
        <v/>
      </c>
      <c r="AL88" s="58" t="n">
        <v>84.5</v>
      </c>
      <c r="AM88" s="59" t="n">
        <v>45.068866</v>
      </c>
      <c r="AN88" s="59" t="n">
        <v>9.548037000000001</v>
      </c>
      <c r="AO88" s="60" t="inlineStr">
        <is>
          <t>Apri Google Maps</t>
        </is>
      </c>
      <c r="AP88" s="8" t="inlineStr">
        <is>
          <t>9,8 ha oltre i 300 m</t>
        </is>
      </c>
      <c r="AQ88" s="47" t="n"/>
      <c r="AR88" s="61" t="n"/>
      <c r="AS88" s="62">
        <f>IF(AR88="","",AR88*762.02)</f>
        <v/>
      </c>
      <c r="AT88" s="7">
        <f>IF(AR88="","",IF(AR88&lt;=$C$3,"SÌ (ENTRO 8€/MQ)","NO (SOPRA SOGLIA -&gt; PROPORRE DDS)"))</f>
        <v/>
      </c>
    </row>
    <row r="89" ht="24" customHeight="1">
      <c r="A89" s="7" t="n">
        <v>84</v>
      </c>
      <c r="B89" s="32" t="inlineStr">
        <is>
          <t>PC-A1-084</t>
        </is>
      </c>
      <c r="C89" s="8" t="inlineStr">
        <is>
          <t>Aperta Campagna (Oltre Top 50)</t>
        </is>
      </c>
      <c r="D89" s="8" t="inlineStr">
        <is>
          <t>✅ Priorità 2 · Aperta Campagna Qualificata</t>
        </is>
      </c>
      <c r="E89" s="6" t="inlineStr">
        <is>
          <t>Alseno</t>
        </is>
      </c>
      <c r="F89" s="7" t="inlineStr">
        <is>
          <t>A223</t>
        </is>
      </c>
      <c r="G89" s="7" t="n">
        <v>4</v>
      </c>
      <c r="H89" s="7" t="n">
        <v>256</v>
      </c>
      <c r="I89" s="52" t="n">
        <v>4.32</v>
      </c>
      <c r="J89" s="52" t="n">
        <v>4.32</v>
      </c>
      <c r="K89" s="53">
        <f>I89*13.1230</f>
        <v/>
      </c>
      <c r="L89" s="53">
        <f>J89*13.1230</f>
        <v/>
      </c>
      <c r="M89" s="7" t="inlineStr">
        <is>
          <t>A1</t>
        </is>
      </c>
      <c r="N89" s="54" t="n">
        <v>46</v>
      </c>
      <c r="O89" s="54" t="n">
        <v>584</v>
      </c>
      <c r="P89" s="7" t="n">
        <v>132</v>
      </c>
      <c r="Q89" s="8" t="inlineStr">
        <is>
          <t>Cortemaggiore (132 kV)</t>
        </is>
      </c>
      <c r="R89" s="55" t="n">
        <v>9.199999999999999</v>
      </c>
      <c r="S89" s="8" t="inlineStr">
        <is>
          <t>CP Fiorenzuola d'Arda (AC001E01230)</t>
        </is>
      </c>
      <c r="T89" s="54" t="n">
        <v>9060</v>
      </c>
      <c r="U89" s="11" t="n">
        <v>633900</v>
      </c>
      <c r="V89" s="56" t="n">
        <v>3.6</v>
      </c>
      <c r="W89" s="56" t="n">
        <v>3.6</v>
      </c>
      <c r="X89" s="54" t="n">
        <v>5734</v>
      </c>
      <c r="Y89" s="10" t="n">
        <v>5.45</v>
      </c>
      <c r="Z89" s="12" t="n">
        <v>5.05</v>
      </c>
      <c r="AA89" s="14">
        <f>Z89*762.02</f>
        <v/>
      </c>
      <c r="AB89" s="13">
        <f>I89*10000*Z89</f>
        <v/>
      </c>
      <c r="AC89" s="7" t="inlineStr">
        <is>
          <t>4.80-5.95</t>
        </is>
      </c>
      <c r="AD89" s="7" t="inlineStr">
        <is>
          <t>55-75</t>
        </is>
      </c>
      <c r="AE89" s="20" t="n">
        <v>6.85</v>
      </c>
      <c r="AF89" s="22">
        <f>AE89*762.02</f>
        <v/>
      </c>
      <c r="AG89" s="21">
        <f>I89*10000*AE89</f>
        <v/>
      </c>
      <c r="AH89" s="21">
        <f>I89*10000*$C$3</f>
        <v/>
      </c>
      <c r="AI89" s="11">
        <f>I89*570</f>
        <v/>
      </c>
      <c r="AJ89" s="57">
        <f>I89*3000</f>
        <v/>
      </c>
      <c r="AK89" s="57">
        <f>AJ89*30</f>
        <v/>
      </c>
      <c r="AL89" s="58" t="n">
        <v>74</v>
      </c>
      <c r="AM89" s="59" t="n">
        <v>44.931055</v>
      </c>
      <c r="AN89" s="59" t="n">
        <v>9.973141</v>
      </c>
      <c r="AO89" s="60" t="inlineStr">
        <is>
          <t>Apri Google Maps</t>
        </is>
      </c>
      <c r="AP89" s="8" t="inlineStr">
        <is>
          <t>Seminativo aperto in fascia autostradale ≤300m D.Lgs. 199/2021</t>
        </is>
      </c>
      <c r="AQ89" s="47" t="n"/>
      <c r="AR89" s="61" t="n"/>
      <c r="AS89" s="62">
        <f>IF(AR89="","",AR89*762.02)</f>
        <v/>
      </c>
      <c r="AT89" s="7">
        <f>IF(AR89="","",IF(AR89&lt;=$C$3,"SÌ (ENTRO 8€/MQ)","NO (SOPRA SOGLIA -&gt; PROPORRE DDS)"))</f>
        <v/>
      </c>
    </row>
    <row r="90" ht="24" customHeight="1">
      <c r="A90" s="7" t="n">
        <v>85</v>
      </c>
      <c r="B90" s="32" t="inlineStr">
        <is>
          <t>PC-A21-085</t>
        </is>
      </c>
      <c r="C90" s="8" t="inlineStr">
        <is>
          <t>Estensione WMS AdE (Griglia Sfalsata)</t>
        </is>
      </c>
      <c r="D90" s="8" t="inlineStr">
        <is>
          <t>🔥 Priorità 1 · Top Taglia / Rete AT Vicina</t>
        </is>
      </c>
      <c r="E90" s="6" t="inlineStr">
        <is>
          <t>San Pietro in Cerro</t>
        </is>
      </c>
      <c r="F90" s="7" t="inlineStr">
        <is>
          <t>G788</t>
        </is>
      </c>
      <c r="G90" s="7" t="n">
        <v>3</v>
      </c>
      <c r="H90" s="7" t="n">
        <v>5</v>
      </c>
      <c r="I90" s="52" t="n">
        <v>7.19</v>
      </c>
      <c r="J90" s="52" t="n">
        <v>4.28</v>
      </c>
      <c r="K90" s="53">
        <f>I90*13.1230</f>
        <v/>
      </c>
      <c r="L90" s="53">
        <f>J90*13.1230</f>
        <v/>
      </c>
      <c r="M90" s="7" t="inlineStr">
        <is>
          <t>A21</t>
        </is>
      </c>
      <c r="N90" s="54" t="n">
        <v>22</v>
      </c>
      <c r="O90" s="54" t="n">
        <v>296</v>
      </c>
      <c r="P90" s="7" t="n">
        <v>380</v>
      </c>
      <c r="Q90" s="8" t="inlineStr">
        <is>
          <t>Monticelli Ferrovia (132 kV)</t>
        </is>
      </c>
      <c r="R90" s="55" t="n">
        <v>1.3</v>
      </c>
      <c r="S90" s="8" t="inlineStr">
        <is>
          <t>CP Monticelli d'Ongina (AC001E01173)</t>
        </is>
      </c>
      <c r="T90" s="54" t="n">
        <v>1690</v>
      </c>
      <c r="U90" s="11" t="n">
        <v>154850</v>
      </c>
      <c r="V90" s="56" t="n">
        <v>5.99</v>
      </c>
      <c r="W90" s="56" t="n">
        <v>3.57</v>
      </c>
      <c r="X90" s="54" t="n">
        <v>9540</v>
      </c>
      <c r="Y90" s="10" t="n">
        <v>5.5</v>
      </c>
      <c r="Z90" s="12" t="n">
        <v>5.15</v>
      </c>
      <c r="AA90" s="14">
        <f>Z90*762.02</f>
        <v/>
      </c>
      <c r="AB90" s="13">
        <f>I90*10000*Z90</f>
        <v/>
      </c>
      <c r="AC90" s="7" t="inlineStr">
        <is>
          <t>4.90-6.10</t>
        </is>
      </c>
      <c r="AD90" s="7" t="inlineStr">
        <is>
          <t>50-70</t>
        </is>
      </c>
      <c r="AE90" s="20" t="n">
        <v>7.05</v>
      </c>
      <c r="AF90" s="22">
        <f>AE90*762.02</f>
        <v/>
      </c>
      <c r="AG90" s="21">
        <f>I90*10000*AE90</f>
        <v/>
      </c>
      <c r="AH90" s="21">
        <f>I90*10000*$C$3</f>
        <v/>
      </c>
      <c r="AI90" s="11">
        <f>I90*580</f>
        <v/>
      </c>
      <c r="AJ90" s="57">
        <f>I90*3000</f>
        <v/>
      </c>
      <c r="AK90" s="57">
        <f>AJ90*30</f>
        <v/>
      </c>
      <c r="AL90" s="58" t="n">
        <v>88</v>
      </c>
      <c r="AM90" s="59" t="n">
        <v>45.055404</v>
      </c>
      <c r="AN90" s="59" t="n">
        <v>9.932962</v>
      </c>
      <c r="AO90" s="60" t="inlineStr">
        <is>
          <t>Apri Google Maps</t>
        </is>
      </c>
      <c r="AP90" s="8" t="inlineStr">
        <is>
          <t>Linea AT 380 kV a ~296 m; Stazione elettrica Monticelli Ferrovia a ~1,3 km; 2,9 ha oltre i 300 m</t>
        </is>
      </c>
      <c r="AQ90" s="47" t="n"/>
      <c r="AR90" s="61" t="n"/>
      <c r="AS90" s="62">
        <f>IF(AR90="","",AR90*762.02)</f>
        <v/>
      </c>
      <c r="AT90" s="7">
        <f>IF(AR90="","",IF(AR90&lt;=$C$3,"SÌ (ENTRO 8€/MQ)","NO (SOPRA SOGLIA -&gt; PROPORRE DDS)"))</f>
        <v/>
      </c>
    </row>
    <row r="91" ht="24" customHeight="1">
      <c r="A91" s="7" t="n">
        <v>86</v>
      </c>
      <c r="B91" s="32" t="inlineStr">
        <is>
          <t>PC-A1-086</t>
        </is>
      </c>
      <c r="C91" s="8" t="inlineStr">
        <is>
          <t>Aperta Campagna (Oltre Top 50)</t>
        </is>
      </c>
      <c r="D91" s="8" t="inlineStr">
        <is>
          <t>🔥 Priorità 1 · Top Taglia / Rete AT Vicina</t>
        </is>
      </c>
      <c r="E91" s="6" t="inlineStr">
        <is>
          <t>Cadeo</t>
        </is>
      </c>
      <c r="F91" s="7" t="inlineStr">
        <is>
          <t>B332</t>
        </is>
      </c>
      <c r="G91" s="7" t="n">
        <v>18</v>
      </c>
      <c r="H91" s="7" t="n">
        <v>257</v>
      </c>
      <c r="I91" s="52" t="n">
        <v>4.27</v>
      </c>
      <c r="J91" s="52" t="n">
        <v>4.27</v>
      </c>
      <c r="K91" s="53">
        <f>I91*13.1230</f>
        <v/>
      </c>
      <c r="L91" s="53">
        <f>J91*13.1230</f>
        <v/>
      </c>
      <c r="M91" s="7" t="inlineStr">
        <is>
          <t>A1</t>
        </is>
      </c>
      <c r="N91" s="54" t="n">
        <v>61</v>
      </c>
      <c r="O91" s="54" t="n">
        <v>75</v>
      </c>
      <c r="P91" s="7" t="n">
        <v>132</v>
      </c>
      <c r="Q91" s="8" t="inlineStr">
        <is>
          <t>Cadeo FS (132 kV)</t>
        </is>
      </c>
      <c r="R91" s="55" t="n">
        <v>1.7</v>
      </c>
      <c r="S91" s="8" t="inlineStr">
        <is>
          <t>CP Cortemaggiore (AC001E01172)</t>
        </is>
      </c>
      <c r="T91" s="54" t="n">
        <v>2210</v>
      </c>
      <c r="U91" s="11" t="n">
        <v>188650</v>
      </c>
      <c r="V91" s="56" t="n">
        <v>3.56</v>
      </c>
      <c r="W91" s="56" t="n">
        <v>3.56</v>
      </c>
      <c r="X91" s="54" t="n">
        <v>5670</v>
      </c>
      <c r="Y91" s="10" t="n">
        <v>5.45</v>
      </c>
      <c r="Z91" s="12" t="n">
        <v>5.75</v>
      </c>
      <c r="AA91" s="14">
        <f>Z91*762.02</f>
        <v/>
      </c>
      <c r="AB91" s="13">
        <f>I91*10000*Z91</f>
        <v/>
      </c>
      <c r="AC91" s="7" t="inlineStr">
        <is>
          <t>5.60-7.15</t>
        </is>
      </c>
      <c r="AD91" s="7" t="inlineStr">
        <is>
          <t>70-95</t>
        </is>
      </c>
      <c r="AE91" s="20" t="n">
        <v>7.2</v>
      </c>
      <c r="AF91" s="22">
        <f>AE91*762.02</f>
        <v/>
      </c>
      <c r="AG91" s="21">
        <f>I91*10000*AE91</f>
        <v/>
      </c>
      <c r="AH91" s="21">
        <f>I91*10000*$C$3</f>
        <v/>
      </c>
      <c r="AI91" s="11">
        <f>I91*640</f>
        <v/>
      </c>
      <c r="AJ91" s="57">
        <f>I91*3000</f>
        <v/>
      </c>
      <c r="AK91" s="57">
        <f>AJ91*30</f>
        <v/>
      </c>
      <c r="AL91" s="58" t="n">
        <v>85.5</v>
      </c>
      <c r="AM91" s="59" t="n">
        <v>44.982977</v>
      </c>
      <c r="AN91" s="59" t="n">
        <v>9.861957</v>
      </c>
      <c r="AO91" s="60" t="inlineStr">
        <is>
          <t>Apri Google Maps</t>
        </is>
      </c>
      <c r="AP91" s="8" t="inlineStr">
        <is>
          <t>Linea AT 132 kV a ~75 m</t>
        </is>
      </c>
      <c r="AQ91" s="47" t="n"/>
      <c r="AR91" s="61" t="n"/>
      <c r="AS91" s="62">
        <f>IF(AR91="","",AR91*762.02)</f>
        <v/>
      </c>
      <c r="AT91" s="7">
        <f>IF(AR91="","",IF(AR91&lt;=$C$3,"SÌ (ENTRO 8€/MQ)","NO (SOPRA SOGLIA -&gt; PROPORRE DDS)"))</f>
        <v/>
      </c>
    </row>
    <row r="92" ht="24" customHeight="1">
      <c r="A92" s="7" t="n">
        <v>87</v>
      </c>
      <c r="B92" s="32" t="inlineStr">
        <is>
          <t>PC-A1-087</t>
        </is>
      </c>
      <c r="C92" s="8" t="inlineStr">
        <is>
          <t>Aperta Campagna (Oltre Top 50)</t>
        </is>
      </c>
      <c r="D92" s="8" t="inlineStr">
        <is>
          <t>🔥 Priorità 1 · Top Taglia / Rete AT Vicina</t>
        </is>
      </c>
      <c r="E92" s="6" t="inlineStr">
        <is>
          <t>Fiorenzuola d'Arda</t>
        </is>
      </c>
      <c r="F92" s="7" t="inlineStr">
        <is>
          <t>D611</t>
        </is>
      </c>
      <c r="G92" s="7" t="n">
        <v>9</v>
      </c>
      <c r="H92" s="7" t="n">
        <v>226</v>
      </c>
      <c r="I92" s="52" t="n">
        <v>4.16</v>
      </c>
      <c r="J92" s="52" t="n">
        <v>4.16</v>
      </c>
      <c r="K92" s="53">
        <f>I92*13.1230</f>
        <v/>
      </c>
      <c r="L92" s="53">
        <f>J92*13.1230</f>
        <v/>
      </c>
      <c r="M92" s="7" t="inlineStr">
        <is>
          <t>A1</t>
        </is>
      </c>
      <c r="N92" s="54" t="n">
        <v>38</v>
      </c>
      <c r="O92" s="54" t="n">
        <v>48</v>
      </c>
      <c r="P92" s="7" t="n">
        <v>132</v>
      </c>
      <c r="Q92" s="8" t="inlineStr">
        <is>
          <t>Fiorenzuola AV (132 kV)</t>
        </is>
      </c>
      <c r="R92" s="55" t="n">
        <v>2</v>
      </c>
      <c r="S92" s="8" t="inlineStr">
        <is>
          <t>CP Fiorenzuola d'Arda (AC001E01230)</t>
        </is>
      </c>
      <c r="T92" s="54" t="n">
        <v>2600</v>
      </c>
      <c r="U92" s="11" t="n">
        <v>214000</v>
      </c>
      <c r="V92" s="56" t="n">
        <v>3.47</v>
      </c>
      <c r="W92" s="56" t="n">
        <v>3.47</v>
      </c>
      <c r="X92" s="54" t="n">
        <v>5527</v>
      </c>
      <c r="Y92" s="10" t="n">
        <v>5.45</v>
      </c>
      <c r="Z92" s="12" t="n">
        <v>5.6</v>
      </c>
      <c r="AA92" s="14">
        <f>Z92*762.02</f>
        <v/>
      </c>
      <c r="AB92" s="13">
        <f>I92*10000*Z92</f>
        <v/>
      </c>
      <c r="AC92" s="7" t="inlineStr">
        <is>
          <t>5.50-6.80</t>
        </is>
      </c>
      <c r="AD92" s="7" t="inlineStr">
        <is>
          <t>80-116</t>
        </is>
      </c>
      <c r="AE92" s="20" t="n">
        <v>7.3</v>
      </c>
      <c r="AF92" s="22">
        <f>AE92*762.02</f>
        <v/>
      </c>
      <c r="AG92" s="21">
        <f>I92*10000*AE92</f>
        <v/>
      </c>
      <c r="AH92" s="21">
        <f>I92*10000*$C$3</f>
        <v/>
      </c>
      <c r="AI92" s="11">
        <f>I92*630</f>
        <v/>
      </c>
      <c r="AJ92" s="57">
        <f>I92*3000</f>
        <v/>
      </c>
      <c r="AK92" s="57">
        <f>AJ92*30</f>
        <v/>
      </c>
      <c r="AL92" s="58" t="n">
        <v>85.5</v>
      </c>
      <c r="AM92" s="59" t="n">
        <v>44.96107</v>
      </c>
      <c r="AN92" s="59" t="n">
        <v>9.912464</v>
      </c>
      <c r="AO92" s="60" t="inlineStr">
        <is>
          <t>Apri Google Maps</t>
        </is>
      </c>
      <c r="AP92" s="8" t="inlineStr">
        <is>
          <t>Linea AT 132 kV a ~48 m</t>
        </is>
      </c>
      <c r="AQ92" s="47" t="n"/>
      <c r="AR92" s="61" t="n"/>
      <c r="AS92" s="62">
        <f>IF(AR92="","",AR92*762.02)</f>
        <v/>
      </c>
      <c r="AT92" s="7">
        <f>IF(AR92="","",IF(AR92&lt;=$C$3,"SÌ (ENTRO 8€/MQ)","NO (SOPRA SOGLIA -&gt; PROPORRE DDS)"))</f>
        <v/>
      </c>
    </row>
    <row r="93" ht="24" customHeight="1">
      <c r="A93" s="7" t="n">
        <v>88</v>
      </c>
      <c r="B93" s="32" t="inlineStr">
        <is>
          <t>PC-A1-088</t>
        </is>
      </c>
      <c r="C93" s="8" t="inlineStr">
        <is>
          <t>Benchmark Test A1 (Pontenure-Cadeo)</t>
        </is>
      </c>
      <c r="D93" s="8" t="inlineStr">
        <is>
          <t>🔥 Priorità 1 · Top Taglia / Rete AT Vicina</t>
        </is>
      </c>
      <c r="E93" s="6" t="inlineStr">
        <is>
          <t>Pontenure</t>
        </is>
      </c>
      <c r="F93" s="7" t="inlineStr">
        <is>
          <t>G852</t>
        </is>
      </c>
      <c r="G93" s="7" t="n">
        <v>14</v>
      </c>
      <c r="H93" s="7" t="n">
        <v>21</v>
      </c>
      <c r="I93" s="52" t="n">
        <v>4.2</v>
      </c>
      <c r="J93" s="52" t="n">
        <v>4.1</v>
      </c>
      <c r="K93" s="53">
        <f>I93*13.1230</f>
        <v/>
      </c>
      <c r="L93" s="53">
        <f>J93*13.1230</f>
        <v/>
      </c>
      <c r="M93" s="7" t="inlineStr">
        <is>
          <t>A1</t>
        </is>
      </c>
      <c r="N93" s="54" t="n">
        <v>52</v>
      </c>
      <c r="O93" s="54" t="n">
        <v>120</v>
      </c>
      <c r="P93" s="7" t="n">
        <v>132</v>
      </c>
      <c r="Q93" s="8" t="inlineStr">
        <is>
          <t>Cadeo FS (132 kV)</t>
        </is>
      </c>
      <c r="R93" s="55" t="n">
        <v>4</v>
      </c>
      <c r="S93" s="8" t="inlineStr">
        <is>
          <t>CP Pontenure 132/15 kV</t>
        </is>
      </c>
      <c r="T93" s="54" t="n">
        <v>4837</v>
      </c>
      <c r="U93" s="11" t="n">
        <v>359405</v>
      </c>
      <c r="V93" s="56" t="n">
        <v>3.5</v>
      </c>
      <c r="W93" s="56" t="n">
        <v>3.42</v>
      </c>
      <c r="X93" s="54" t="n">
        <v>5574</v>
      </c>
      <c r="Y93" s="10" t="n">
        <v>5.85</v>
      </c>
      <c r="Z93" s="12" t="n">
        <v>6.1</v>
      </c>
      <c r="AA93" s="14">
        <f>Z93*762.02</f>
        <v/>
      </c>
      <c r="AB93" s="13">
        <f>I93*10000*Z93</f>
        <v/>
      </c>
      <c r="AC93" s="7" t="inlineStr">
        <is>
          <t>6.00-7.35</t>
        </is>
      </c>
      <c r="AD93" s="7" t="inlineStr">
        <is>
          <t>85-110</t>
        </is>
      </c>
      <c r="AE93" s="20" t="n">
        <v>7.65</v>
      </c>
      <c r="AF93" s="22">
        <f>AE93*762.02</f>
        <v/>
      </c>
      <c r="AG93" s="21">
        <f>I93*10000*AE93</f>
        <v/>
      </c>
      <c r="AH93" s="21">
        <f>I93*10000*$C$3</f>
        <v/>
      </c>
      <c r="AI93" s="11">
        <f>I93*680</f>
        <v/>
      </c>
      <c r="AJ93" s="57">
        <f>I93*3000</f>
        <v/>
      </c>
      <c r="AK93" s="57">
        <f>AJ93*30</f>
        <v/>
      </c>
      <c r="AL93" s="58" t="n">
        <v>76.5</v>
      </c>
      <c r="AM93" s="59" t="n">
        <v>44.9972</v>
      </c>
      <c r="AN93" s="59" t="n">
        <v>9.8185</v>
      </c>
      <c r="AO93" s="60" t="inlineStr">
        <is>
          <t>Apri Google Maps</t>
        </is>
      </c>
      <c r="AP93" s="8" t="inlineStr">
        <is>
          <t>Lotto 4 Benchmark Test A1 (contigua a Part. 134, accesso da Strada Comunale Valconasso)</t>
        </is>
      </c>
      <c r="AQ93" s="47" t="n"/>
      <c r="AR93" s="61" t="n"/>
      <c r="AS93" s="62">
        <f>IF(AR93="","",AR93*762.02)</f>
        <v/>
      </c>
      <c r="AT93" s="7">
        <f>IF(AR93="","",IF(AR93&lt;=$C$3,"SÌ (ENTRO 8€/MQ)","NO (SOPRA SOGLIA -&gt; PROPORRE DDS)"))</f>
        <v/>
      </c>
    </row>
    <row r="94" ht="24" customHeight="1">
      <c r="A94" s="7" t="n">
        <v>89</v>
      </c>
      <c r="B94" s="32" t="inlineStr">
        <is>
          <t>PC-A21-089</t>
        </is>
      </c>
      <c r="C94" s="8" t="inlineStr">
        <is>
          <t>Estensione WMS AdE (Griglia Sfalsata)</t>
        </is>
      </c>
      <c r="D94" s="8" t="inlineStr">
        <is>
          <t>🔥 Priorità 1 · Top Taglia / Rete AT Vicina</t>
        </is>
      </c>
      <c r="E94" s="6" t="inlineStr">
        <is>
          <t>Rottofreno</t>
        </is>
      </c>
      <c r="F94" s="7" t="inlineStr">
        <is>
          <t>H593</t>
        </is>
      </c>
      <c r="G94" s="7" t="n">
        <v>14</v>
      </c>
      <c r="H94" s="7" t="n">
        <v>30</v>
      </c>
      <c r="I94" s="52" t="n">
        <v>6.03</v>
      </c>
      <c r="J94" s="52" t="n">
        <v>4.09</v>
      </c>
      <c r="K94" s="53">
        <f>I94*13.1230</f>
        <v/>
      </c>
      <c r="L94" s="53">
        <f>J94*13.1230</f>
        <v/>
      </c>
      <c r="M94" s="7" t="inlineStr">
        <is>
          <t>A21</t>
        </is>
      </c>
      <c r="N94" s="54" t="n">
        <v>37</v>
      </c>
      <c r="O94" s="54" t="n">
        <v>1205</v>
      </c>
      <c r="P94" s="7" t="n">
        <v>132</v>
      </c>
      <c r="Q94" s="8" t="inlineStr">
        <is>
          <t>Rottofreno (132 kV)</t>
        </is>
      </c>
      <c r="R94" s="55" t="n">
        <v>1.2</v>
      </c>
      <c r="S94" s="8" t="inlineStr">
        <is>
          <t>CP Rottofreno (AC001E01165)</t>
        </is>
      </c>
      <c r="T94" s="54" t="n">
        <v>767</v>
      </c>
      <c r="U94" s="11" t="n">
        <v>94855</v>
      </c>
      <c r="V94" s="56" t="n">
        <v>5.03</v>
      </c>
      <c r="W94" s="56" t="n">
        <v>3.41</v>
      </c>
      <c r="X94" s="54" t="n">
        <v>8011</v>
      </c>
      <c r="Y94" s="10" t="n">
        <v>5.65</v>
      </c>
      <c r="Z94" s="12" t="n">
        <v>5.65</v>
      </c>
      <c r="AA94" s="14">
        <f>Z94*762.02</f>
        <v/>
      </c>
      <c r="AB94" s="13">
        <f>I94*10000*Z94</f>
        <v/>
      </c>
      <c r="AC94" s="7" t="inlineStr">
        <is>
          <t>5.40-6.80</t>
        </is>
      </c>
      <c r="AD94" s="7" t="inlineStr">
        <is>
          <t>75-105</t>
        </is>
      </c>
      <c r="AE94" s="20" t="n">
        <v>7.5</v>
      </c>
      <c r="AF94" s="22">
        <f>AE94*762.02</f>
        <v/>
      </c>
      <c r="AG94" s="21">
        <f>I94*10000*AE94</f>
        <v/>
      </c>
      <c r="AH94" s="21">
        <f>I94*10000*$C$3</f>
        <v/>
      </c>
      <c r="AI94" s="11">
        <f>I94*650</f>
        <v/>
      </c>
      <c r="AJ94" s="57">
        <f>I94*3000</f>
        <v/>
      </c>
      <c r="AK94" s="57">
        <f>AJ94*30</f>
        <v/>
      </c>
      <c r="AL94" s="58" t="n">
        <v>94.5</v>
      </c>
      <c r="AM94" s="59" t="n">
        <v>45.062372</v>
      </c>
      <c r="AN94" s="59" t="n">
        <v>9.568394</v>
      </c>
      <c r="AO94" s="60" t="inlineStr">
        <is>
          <t>Apri Google Maps</t>
        </is>
      </c>
      <c r="AP94" s="8" t="inlineStr">
        <is>
          <t>Stazione elettrica Rottofreno a ~1,2 km; 1,9 ha oltre i 300 m</t>
        </is>
      </c>
      <c r="AQ94" s="47" t="n"/>
      <c r="AR94" s="61" t="n"/>
      <c r="AS94" s="62">
        <f>IF(AR94="","",AR94*762.02)</f>
        <v/>
      </c>
      <c r="AT94" s="7">
        <f>IF(AR94="","",IF(AR94&lt;=$C$3,"SÌ (ENTRO 8€/MQ)","NO (SOPRA SOGLIA -&gt; PROPORRE DDS)"))</f>
        <v/>
      </c>
    </row>
    <row r="95" ht="24" customHeight="1">
      <c r="A95" s="7" t="n">
        <v>90</v>
      </c>
      <c r="B95" s="32" t="inlineStr">
        <is>
          <t>PC-A1-090</t>
        </is>
      </c>
      <c r="C95" s="8" t="inlineStr">
        <is>
          <t>Benchmark Test A1 (Pontenure-Cadeo)</t>
        </is>
      </c>
      <c r="D95" s="8" t="inlineStr">
        <is>
          <t>🔥 Priorità 1 · Top Taglia / Rete AT Vicina</t>
        </is>
      </c>
      <c r="E95" s="6" t="inlineStr">
        <is>
          <t>Pontenure</t>
        </is>
      </c>
      <c r="F95" s="7" t="inlineStr">
        <is>
          <t>G852</t>
        </is>
      </c>
      <c r="G95" s="7" t="n">
        <v>14</v>
      </c>
      <c r="H95" s="7" t="n">
        <v>86</v>
      </c>
      <c r="I95" s="52" t="n">
        <v>3.2</v>
      </c>
      <c r="J95" s="52" t="n">
        <v>3.2</v>
      </c>
      <c r="K95" s="53">
        <f>I95*13.1230</f>
        <v/>
      </c>
      <c r="L95" s="53">
        <f>J95*13.1230</f>
        <v/>
      </c>
      <c r="M95" s="7" t="inlineStr">
        <is>
          <t>A1</t>
        </is>
      </c>
      <c r="N95" s="54" t="n">
        <v>60</v>
      </c>
      <c r="O95" s="54" t="n">
        <v>140</v>
      </c>
      <c r="P95" s="7" t="n">
        <v>132</v>
      </c>
      <c r="Q95" s="8" t="inlineStr">
        <is>
          <t>Cadeo FS (132 kV)</t>
        </is>
      </c>
      <c r="R95" s="55" t="n">
        <v>3.9</v>
      </c>
      <c r="S95" s="8" t="inlineStr">
        <is>
          <t>CP Pontenure 132/15 kV</t>
        </is>
      </c>
      <c r="T95" s="54" t="n">
        <v>5070</v>
      </c>
      <c r="U95" s="11" t="n">
        <v>374550</v>
      </c>
      <c r="V95" s="56" t="n">
        <v>2.67</v>
      </c>
      <c r="W95" s="56" t="n">
        <v>2.67</v>
      </c>
      <c r="X95" s="54" t="n">
        <v>4253</v>
      </c>
      <c r="Y95" s="10" t="n">
        <v>5.85</v>
      </c>
      <c r="Z95" s="12" t="n">
        <v>6.1</v>
      </c>
      <c r="AA95" s="14">
        <f>Z95*762.02</f>
        <v/>
      </c>
      <c r="AB95" s="13">
        <f>I95*10000*Z95</f>
        <v/>
      </c>
      <c r="AC95" s="7" t="inlineStr">
        <is>
          <t>6.00-7.35</t>
        </is>
      </c>
      <c r="AD95" s="7" t="inlineStr">
        <is>
          <t>85-110</t>
        </is>
      </c>
      <c r="AE95" s="20" t="n">
        <v>7.65</v>
      </c>
      <c r="AF95" s="22">
        <f>AE95*762.02</f>
        <v/>
      </c>
      <c r="AG95" s="21">
        <f>I95*10000*AE95</f>
        <v/>
      </c>
      <c r="AH95" s="21">
        <f>I95*10000*$C$3</f>
        <v/>
      </c>
      <c r="AI95" s="11">
        <f>I95*680</f>
        <v/>
      </c>
      <c r="AJ95" s="57">
        <f>I95*3000</f>
        <v/>
      </c>
      <c r="AK95" s="57">
        <f>AJ95*30</f>
        <v/>
      </c>
      <c r="AL95" s="58" t="n">
        <v>76.5</v>
      </c>
      <c r="AM95" s="59" t="n">
        <v>44.999</v>
      </c>
      <c r="AN95" s="59" t="n">
        <v>9.821999999999999</v>
      </c>
      <c r="AO95" s="60" t="inlineStr">
        <is>
          <t>Apri Google Maps</t>
        </is>
      </c>
      <c r="AP95" s="8" t="inlineStr">
        <is>
          <t>Lotto 5 Benchmark Test A1 (contigua Part. 44, tra A1 e ferrovia AV)</t>
        </is>
      </c>
      <c r="AQ95" s="47" t="n"/>
      <c r="AR95" s="61" t="n"/>
      <c r="AS95" s="62">
        <f>IF(AR95="","",AR95*762.02)</f>
        <v/>
      </c>
      <c r="AT95" s="7">
        <f>IF(AR95="","",IF(AR95&lt;=$C$3,"SÌ (ENTRO 8€/MQ)","NO (SOPRA SOGLIA -&gt; PROPORRE DDS)"))</f>
        <v/>
      </c>
    </row>
    <row r="96" ht="26" customHeight="1">
      <c r="A96" s="24" t="n"/>
      <c r="B96" s="24" t="n"/>
      <c r="C96" s="24" t="n"/>
      <c r="D96" s="24" t="n"/>
      <c r="E96" s="24" t="inlineStr">
        <is>
          <t>TOTALE / MEDIA</t>
        </is>
      </c>
      <c r="F96" s="24" t="n"/>
      <c r="G96" s="24" t="n"/>
      <c r="H96" s="24" t="n"/>
      <c r="I96" s="25">
        <f>SUM(I6:I95)</f>
        <v/>
      </c>
      <c r="J96" s="25">
        <f>SUM(J6:J95)</f>
        <v/>
      </c>
      <c r="K96" s="25">
        <f>SUM(K6:K95)</f>
        <v/>
      </c>
      <c r="L96" s="25">
        <f>SUM(L6:L95)</f>
        <v/>
      </c>
      <c r="M96" s="24" t="n"/>
      <c r="N96" s="24" t="n"/>
      <c r="O96" s="24" t="n"/>
      <c r="P96" s="24" t="n"/>
      <c r="Q96" s="24" t="n"/>
      <c r="R96" s="24" t="n"/>
      <c r="S96" s="24" t="n"/>
      <c r="T96" s="24" t="n"/>
      <c r="U96" s="27">
        <f>SUM(U6:U95)</f>
        <v/>
      </c>
      <c r="V96" s="25">
        <f>SUM(V6:V95)</f>
        <v/>
      </c>
      <c r="W96" s="25">
        <f>SUM(W6:W95)</f>
        <v/>
      </c>
      <c r="X96" s="25">
        <f>SUM(X6:X95)</f>
        <v/>
      </c>
      <c r="Y96" s="26">
        <f>AVERAGE(Y6:Y95)</f>
        <v/>
      </c>
      <c r="Z96" s="26">
        <f>AVERAGE(Z6:Z95)</f>
        <v/>
      </c>
      <c r="AA96" s="28">
        <f>AVERAGE(AA6:AA95)</f>
        <v/>
      </c>
      <c r="AB96" s="27">
        <f>SUM(AB6:AB95)</f>
        <v/>
      </c>
      <c r="AC96" s="24" t="n"/>
      <c r="AD96" s="24" t="n"/>
      <c r="AE96" s="26">
        <f>AVERAGE(AE6:AE95)</f>
        <v/>
      </c>
      <c r="AF96" s="28">
        <f>AVERAGE(AF6:AF95)</f>
        <v/>
      </c>
      <c r="AG96" s="27">
        <f>SUM(AG6:AG95)</f>
        <v/>
      </c>
      <c r="AH96" s="27">
        <f>SUM(AH6:AH95)</f>
        <v/>
      </c>
      <c r="AI96" s="27">
        <f>SUM(AI6:AI95)</f>
        <v/>
      </c>
      <c r="AJ96" s="27">
        <f>SUM(AJ6:AJ95)</f>
        <v/>
      </c>
      <c r="AK96" s="27">
        <f>SUM(AK6:AK95)</f>
        <v/>
      </c>
      <c r="AL96" s="63">
        <f>AVERAGE(AL6:AL95)</f>
        <v/>
      </c>
      <c r="AM96" s="24" t="n"/>
      <c r="AN96" s="24" t="n"/>
      <c r="AO96" s="24" t="n"/>
      <c r="AP96" s="24" t="n"/>
      <c r="AQ96" s="24" t="n"/>
      <c r="AR96" s="24" t="n"/>
      <c r="AS96" s="24" t="n"/>
      <c r="AT96" s="24" t="n"/>
    </row>
  </sheetData>
  <hyperlinks>
    <hyperlink xmlns:r="http://schemas.openxmlformats.org/officeDocument/2006/relationships" ref="AO6" r:id="rId1"/>
    <hyperlink xmlns:r="http://schemas.openxmlformats.org/officeDocument/2006/relationships" ref="AO7" r:id="rId2"/>
    <hyperlink xmlns:r="http://schemas.openxmlformats.org/officeDocument/2006/relationships" ref="AO8" r:id="rId3"/>
    <hyperlink xmlns:r="http://schemas.openxmlformats.org/officeDocument/2006/relationships" ref="AO9" r:id="rId4"/>
    <hyperlink xmlns:r="http://schemas.openxmlformats.org/officeDocument/2006/relationships" ref="AO10" r:id="rId5"/>
    <hyperlink xmlns:r="http://schemas.openxmlformats.org/officeDocument/2006/relationships" ref="AO11" r:id="rId6"/>
    <hyperlink xmlns:r="http://schemas.openxmlformats.org/officeDocument/2006/relationships" ref="AO12" r:id="rId7"/>
    <hyperlink xmlns:r="http://schemas.openxmlformats.org/officeDocument/2006/relationships" ref="AO13" r:id="rId8"/>
    <hyperlink xmlns:r="http://schemas.openxmlformats.org/officeDocument/2006/relationships" ref="AO14" r:id="rId9"/>
    <hyperlink xmlns:r="http://schemas.openxmlformats.org/officeDocument/2006/relationships" ref="AO15" r:id="rId10"/>
    <hyperlink xmlns:r="http://schemas.openxmlformats.org/officeDocument/2006/relationships" ref="AO16" r:id="rId11"/>
    <hyperlink xmlns:r="http://schemas.openxmlformats.org/officeDocument/2006/relationships" ref="AO17" r:id="rId12"/>
    <hyperlink xmlns:r="http://schemas.openxmlformats.org/officeDocument/2006/relationships" ref="AO18" r:id="rId13"/>
    <hyperlink xmlns:r="http://schemas.openxmlformats.org/officeDocument/2006/relationships" ref="AO19" r:id="rId14"/>
    <hyperlink xmlns:r="http://schemas.openxmlformats.org/officeDocument/2006/relationships" ref="AO20" r:id="rId15"/>
    <hyperlink xmlns:r="http://schemas.openxmlformats.org/officeDocument/2006/relationships" ref="AO21" r:id="rId16"/>
    <hyperlink xmlns:r="http://schemas.openxmlformats.org/officeDocument/2006/relationships" ref="AO22" r:id="rId17"/>
    <hyperlink xmlns:r="http://schemas.openxmlformats.org/officeDocument/2006/relationships" ref="AO23" r:id="rId18"/>
    <hyperlink xmlns:r="http://schemas.openxmlformats.org/officeDocument/2006/relationships" ref="AO24" r:id="rId19"/>
    <hyperlink xmlns:r="http://schemas.openxmlformats.org/officeDocument/2006/relationships" ref="AO25" r:id="rId20"/>
    <hyperlink xmlns:r="http://schemas.openxmlformats.org/officeDocument/2006/relationships" ref="AO26" r:id="rId21"/>
    <hyperlink xmlns:r="http://schemas.openxmlformats.org/officeDocument/2006/relationships" ref="AO27" r:id="rId22"/>
    <hyperlink xmlns:r="http://schemas.openxmlformats.org/officeDocument/2006/relationships" ref="AO28" r:id="rId23"/>
    <hyperlink xmlns:r="http://schemas.openxmlformats.org/officeDocument/2006/relationships" ref="AO29" r:id="rId24"/>
    <hyperlink xmlns:r="http://schemas.openxmlformats.org/officeDocument/2006/relationships" ref="AO30" r:id="rId25"/>
    <hyperlink xmlns:r="http://schemas.openxmlformats.org/officeDocument/2006/relationships" ref="AO31" r:id="rId26"/>
    <hyperlink xmlns:r="http://schemas.openxmlformats.org/officeDocument/2006/relationships" ref="AO32" r:id="rId27"/>
    <hyperlink xmlns:r="http://schemas.openxmlformats.org/officeDocument/2006/relationships" ref="AO33" r:id="rId28"/>
    <hyperlink xmlns:r="http://schemas.openxmlformats.org/officeDocument/2006/relationships" ref="AO34" r:id="rId29"/>
    <hyperlink xmlns:r="http://schemas.openxmlformats.org/officeDocument/2006/relationships" ref="AO35" r:id="rId30"/>
    <hyperlink xmlns:r="http://schemas.openxmlformats.org/officeDocument/2006/relationships" ref="AO36" r:id="rId31"/>
    <hyperlink xmlns:r="http://schemas.openxmlformats.org/officeDocument/2006/relationships" ref="AO37" r:id="rId32"/>
    <hyperlink xmlns:r="http://schemas.openxmlformats.org/officeDocument/2006/relationships" ref="AO38" r:id="rId33"/>
    <hyperlink xmlns:r="http://schemas.openxmlformats.org/officeDocument/2006/relationships" ref="AO39" r:id="rId34"/>
    <hyperlink xmlns:r="http://schemas.openxmlformats.org/officeDocument/2006/relationships" ref="AO40" r:id="rId35"/>
    <hyperlink xmlns:r="http://schemas.openxmlformats.org/officeDocument/2006/relationships" ref="AO41" r:id="rId36"/>
    <hyperlink xmlns:r="http://schemas.openxmlformats.org/officeDocument/2006/relationships" ref="AO42" r:id="rId37"/>
    <hyperlink xmlns:r="http://schemas.openxmlformats.org/officeDocument/2006/relationships" ref="AO43" r:id="rId38"/>
    <hyperlink xmlns:r="http://schemas.openxmlformats.org/officeDocument/2006/relationships" ref="AO44" r:id="rId39"/>
    <hyperlink xmlns:r="http://schemas.openxmlformats.org/officeDocument/2006/relationships" ref="AO45" r:id="rId40"/>
    <hyperlink xmlns:r="http://schemas.openxmlformats.org/officeDocument/2006/relationships" ref="AO46" r:id="rId41"/>
    <hyperlink xmlns:r="http://schemas.openxmlformats.org/officeDocument/2006/relationships" ref="AO47" r:id="rId42"/>
    <hyperlink xmlns:r="http://schemas.openxmlformats.org/officeDocument/2006/relationships" ref="AO48" r:id="rId43"/>
    <hyperlink xmlns:r="http://schemas.openxmlformats.org/officeDocument/2006/relationships" ref="AO49" r:id="rId44"/>
    <hyperlink xmlns:r="http://schemas.openxmlformats.org/officeDocument/2006/relationships" ref="AO50" r:id="rId45"/>
    <hyperlink xmlns:r="http://schemas.openxmlformats.org/officeDocument/2006/relationships" ref="AO51" r:id="rId46"/>
    <hyperlink xmlns:r="http://schemas.openxmlformats.org/officeDocument/2006/relationships" ref="AO52" r:id="rId47"/>
    <hyperlink xmlns:r="http://schemas.openxmlformats.org/officeDocument/2006/relationships" ref="AO53" r:id="rId48"/>
    <hyperlink xmlns:r="http://schemas.openxmlformats.org/officeDocument/2006/relationships" ref="AO54" r:id="rId49"/>
    <hyperlink xmlns:r="http://schemas.openxmlformats.org/officeDocument/2006/relationships" ref="AO55" r:id="rId50"/>
    <hyperlink xmlns:r="http://schemas.openxmlformats.org/officeDocument/2006/relationships" ref="AO56" r:id="rId51"/>
    <hyperlink xmlns:r="http://schemas.openxmlformats.org/officeDocument/2006/relationships" ref="AO57" r:id="rId52"/>
    <hyperlink xmlns:r="http://schemas.openxmlformats.org/officeDocument/2006/relationships" ref="AO58" r:id="rId53"/>
    <hyperlink xmlns:r="http://schemas.openxmlformats.org/officeDocument/2006/relationships" ref="AO59" r:id="rId54"/>
    <hyperlink xmlns:r="http://schemas.openxmlformats.org/officeDocument/2006/relationships" ref="AO60" r:id="rId55"/>
    <hyperlink xmlns:r="http://schemas.openxmlformats.org/officeDocument/2006/relationships" ref="AO61" r:id="rId56"/>
    <hyperlink xmlns:r="http://schemas.openxmlformats.org/officeDocument/2006/relationships" ref="AO62" r:id="rId57"/>
    <hyperlink xmlns:r="http://schemas.openxmlformats.org/officeDocument/2006/relationships" ref="AO63" r:id="rId58"/>
    <hyperlink xmlns:r="http://schemas.openxmlformats.org/officeDocument/2006/relationships" ref="AO64" r:id="rId59"/>
    <hyperlink xmlns:r="http://schemas.openxmlformats.org/officeDocument/2006/relationships" ref="AO65" r:id="rId60"/>
    <hyperlink xmlns:r="http://schemas.openxmlformats.org/officeDocument/2006/relationships" ref="AO66" r:id="rId61"/>
    <hyperlink xmlns:r="http://schemas.openxmlformats.org/officeDocument/2006/relationships" ref="AO67" r:id="rId62"/>
    <hyperlink xmlns:r="http://schemas.openxmlformats.org/officeDocument/2006/relationships" ref="AO68" r:id="rId63"/>
    <hyperlink xmlns:r="http://schemas.openxmlformats.org/officeDocument/2006/relationships" ref="AO69" r:id="rId64"/>
    <hyperlink xmlns:r="http://schemas.openxmlformats.org/officeDocument/2006/relationships" ref="AO70" r:id="rId65"/>
    <hyperlink xmlns:r="http://schemas.openxmlformats.org/officeDocument/2006/relationships" ref="AO71" r:id="rId66"/>
    <hyperlink xmlns:r="http://schemas.openxmlformats.org/officeDocument/2006/relationships" ref="AO72" r:id="rId67"/>
    <hyperlink xmlns:r="http://schemas.openxmlformats.org/officeDocument/2006/relationships" ref="AO73" r:id="rId68"/>
    <hyperlink xmlns:r="http://schemas.openxmlformats.org/officeDocument/2006/relationships" ref="AO74" r:id="rId69"/>
    <hyperlink xmlns:r="http://schemas.openxmlformats.org/officeDocument/2006/relationships" ref="AO75" r:id="rId70"/>
    <hyperlink xmlns:r="http://schemas.openxmlformats.org/officeDocument/2006/relationships" ref="AO76" r:id="rId71"/>
    <hyperlink xmlns:r="http://schemas.openxmlformats.org/officeDocument/2006/relationships" ref="AO77" r:id="rId72"/>
    <hyperlink xmlns:r="http://schemas.openxmlformats.org/officeDocument/2006/relationships" ref="AO78" r:id="rId73"/>
    <hyperlink xmlns:r="http://schemas.openxmlformats.org/officeDocument/2006/relationships" ref="AO79" r:id="rId74"/>
    <hyperlink xmlns:r="http://schemas.openxmlformats.org/officeDocument/2006/relationships" ref="AO80" r:id="rId75"/>
    <hyperlink xmlns:r="http://schemas.openxmlformats.org/officeDocument/2006/relationships" ref="AO81" r:id="rId76"/>
    <hyperlink xmlns:r="http://schemas.openxmlformats.org/officeDocument/2006/relationships" ref="AO82" r:id="rId77"/>
    <hyperlink xmlns:r="http://schemas.openxmlformats.org/officeDocument/2006/relationships" ref="AO83" r:id="rId78"/>
    <hyperlink xmlns:r="http://schemas.openxmlformats.org/officeDocument/2006/relationships" ref="AO84" r:id="rId79"/>
    <hyperlink xmlns:r="http://schemas.openxmlformats.org/officeDocument/2006/relationships" ref="AO85" r:id="rId80"/>
    <hyperlink xmlns:r="http://schemas.openxmlformats.org/officeDocument/2006/relationships" ref="AO86" r:id="rId81"/>
    <hyperlink xmlns:r="http://schemas.openxmlformats.org/officeDocument/2006/relationships" ref="AO87" r:id="rId82"/>
    <hyperlink xmlns:r="http://schemas.openxmlformats.org/officeDocument/2006/relationships" ref="AO88" r:id="rId83"/>
    <hyperlink xmlns:r="http://schemas.openxmlformats.org/officeDocument/2006/relationships" ref="AO89" r:id="rId84"/>
    <hyperlink xmlns:r="http://schemas.openxmlformats.org/officeDocument/2006/relationships" ref="AO90" r:id="rId85"/>
    <hyperlink xmlns:r="http://schemas.openxmlformats.org/officeDocument/2006/relationships" ref="AO91" r:id="rId86"/>
    <hyperlink xmlns:r="http://schemas.openxmlformats.org/officeDocument/2006/relationships" ref="AO92" r:id="rId87"/>
    <hyperlink xmlns:r="http://schemas.openxmlformats.org/officeDocument/2006/relationships" ref="AO93" r:id="rId88"/>
    <hyperlink xmlns:r="http://schemas.openxmlformats.org/officeDocument/2006/relationships" ref="AO94" r:id="rId89"/>
    <hyperlink xmlns:r="http://schemas.openxmlformats.org/officeDocument/2006/relationships" ref="AO95" r:id="rId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32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4" customWidth="1" min="2" max="2"/>
    <col width="28" customWidth="1" min="3" max="3"/>
    <col width="2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6" customWidth="1" min="18" max="18"/>
    <col width="28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48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26 LOTTI IN RISERVA PERIURBANA (&lt;250m DA AREE PRODUTTIVE/LE MOSE) — ANALISI COSTI E OPZIONE DIRITTO DI SUPERFICIE</t>
        </is>
      </c>
    </row>
    <row r="2">
      <c r="A2" s="2" t="inlineStr">
        <is>
          <t>Ogni lotto integra: Dati Catastali WMS AdE, Conversione in Pertiche Piacentine (762 mq), Rete AT/MT e CAPEX TICA, VAM Amministrativo, Prezzo Reale di Compravendita Agricola (Rogiti CREA/CCIAA), Annunci Portali, Terreni Industriali Zona D e Calcolatore Trattativa.</t>
        </is>
      </c>
    </row>
    <row r="3">
      <c r="A3" s="49" t="inlineStr">
        <is>
          <t>Tetto Massimo Mandato (€/mq):</t>
        </is>
      </c>
      <c r="C3" s="50" t="n">
        <v>8</v>
      </c>
      <c r="D3" s="51">
        <f>C3*762.02</f>
        <v/>
      </c>
    </row>
    <row r="5" ht="36" customHeight="1">
      <c r="A5" s="3" t="inlineStr">
        <is>
          <t>#</t>
        </is>
      </c>
      <c r="B5" s="3" t="inlineStr">
        <is>
          <t>ID Lotto</t>
        </is>
      </c>
      <c r="C5" s="3" t="inlineStr">
        <is>
          <t>Coorte / Origine</t>
        </is>
      </c>
      <c r="D5" s="3" t="inlineStr">
        <is>
          <t>Priorità Visura Sister</t>
        </is>
      </c>
      <c r="E5" s="3" t="inlineStr">
        <is>
          <t>Comune</t>
        </is>
      </c>
      <c r="F5" s="3" t="inlineStr">
        <is>
          <t>Belfiore</t>
        </is>
      </c>
      <c r="G5" s="3" t="inlineStr">
        <is>
          <t>Foglio</t>
        </is>
      </c>
      <c r="H5" s="3" t="inlineStr">
        <is>
          <t>Particella</t>
        </is>
      </c>
      <c r="I5" s="3" t="inlineStr">
        <is>
          <t>Sup. Totale (ha)</t>
        </is>
      </c>
      <c r="J5" s="3" t="inlineStr">
        <is>
          <t>Sup. Entro 300m (ha)</t>
        </is>
      </c>
      <c r="K5" s="3" t="inlineStr">
        <is>
          <t>Sup. Totale (Pertiche P.ne)</t>
        </is>
      </c>
      <c r="L5" s="3" t="inlineStr">
        <is>
          <t>Sup. ≤300m (Pertiche P.ne)</t>
        </is>
      </c>
      <c r="M5" s="5" t="inlineStr">
        <is>
          <t>Autostrada</t>
        </is>
      </c>
      <c r="N5" s="5" t="inlineStr">
        <is>
          <t>Dist. Asse (m)</t>
        </is>
      </c>
      <c r="O5" s="5" t="inlineStr">
        <is>
          <t>Dist. Linea AT (m)</t>
        </is>
      </c>
      <c r="P5" s="5" t="inlineStr">
        <is>
          <t>kV Linea AT</t>
        </is>
      </c>
      <c r="Q5" s="5" t="inlineStr">
        <is>
          <t>Stazione Elettrica OSM</t>
        </is>
      </c>
      <c r="R5" s="5" t="inlineStr">
        <is>
          <t>Dist. Stazione (km)</t>
        </is>
      </c>
      <c r="S5" s="5" t="inlineStr">
        <is>
          <t>Cabina Primaria ARERA</t>
        </is>
      </c>
      <c r="T5" s="5" t="inlineStr">
        <is>
          <t>Cavidotto MT 1.30x (m)</t>
        </is>
      </c>
      <c r="U5" s="5" t="inlineStr">
        <is>
          <t>CAPEX Allaccio TICA (€)</t>
        </is>
      </c>
      <c r="V5" s="5" t="inlineStr">
        <is>
          <t>Potenza Totale (MWp)</t>
        </is>
      </c>
      <c r="W5" s="5" t="inlineStr">
        <is>
          <t>Potenza ≤300m (MWp)</t>
        </is>
      </c>
      <c r="X5" s="5" t="inlineStr">
        <is>
          <t>Producibilità Tracker (MWh/a)</t>
        </is>
      </c>
      <c r="Y5" s="4" t="inlineStr">
        <is>
          <t>VAM Ufficiale (€/mq)</t>
        </is>
      </c>
      <c r="Z5" s="4" t="inlineStr">
        <is>
          <t>ROGITO REALE Agricolo Comune (€/mq)</t>
        </is>
      </c>
      <c r="AA5" s="4" t="inlineStr">
        <is>
          <t>ROGITO REALE Agricolo (€/Pertica)</t>
        </is>
      </c>
      <c r="AB5" s="4" t="inlineStr">
        <is>
          <t>Valore Mercato Agricolo Reale Lotto (€)</t>
        </is>
      </c>
      <c r="AC5" s="4" t="inlineStr">
        <is>
          <t>Annunci Portali Comune (€/mq)</t>
        </is>
      </c>
      <c r="AD5" s="4" t="inlineStr">
        <is>
          <t>Terreno Industriale Zona D Comune (€/mq)</t>
        </is>
      </c>
      <c r="AE5" s="4" t="inlineStr">
        <is>
          <t>Offerta FV Consigliata SunPro (€/mq)</t>
        </is>
      </c>
      <c r="AF5" s="4" t="inlineStr">
        <is>
          <t>Offerta FV Consigliata (€/Pertica)</t>
        </is>
      </c>
      <c r="AG5" s="4" t="inlineStr">
        <is>
          <t>Valore Offerta Consigliata Lotto (€)</t>
        </is>
      </c>
      <c r="AH5" s="4" t="inlineStr">
        <is>
          <t>Spesa Max Tetto Mandato 8 €/mq (€)</t>
        </is>
      </c>
      <c r="AI5" s="4" t="inlineStr">
        <is>
          <t>Affitto Agrario Attuale Stimato (€/anno)</t>
        </is>
      </c>
      <c r="AJ5" s="4" t="inlineStr">
        <is>
          <t>Canone DDS FV 30y (3.000 €/ha/a)</t>
        </is>
      </c>
      <c r="AK5" s="4" t="inlineStr">
        <is>
          <t>Incasso Proprietario DDS 30 Anni (€)</t>
        </is>
      </c>
      <c r="AL5" s="3" t="inlineStr">
        <is>
          <t>Score SunPro</t>
        </is>
      </c>
      <c r="AM5" s="3" t="inlineStr">
        <is>
          <t>Lat</t>
        </is>
      </c>
      <c r="AN5" s="3" t="inlineStr">
        <is>
          <t>Lon</t>
        </is>
      </c>
      <c r="AO5" s="3" t="inlineStr">
        <is>
          <t>Ortofoto Google</t>
        </is>
      </c>
      <c r="AP5" s="3" t="inlineStr">
        <is>
          <t>Note Tecniche e di Mercato</t>
        </is>
      </c>
      <c r="AQ5" s="3" t="inlineStr">
        <is>
          <t>Intestatario (da Visura Sister)</t>
        </is>
      </c>
      <c r="AR5" s="3" t="inlineStr">
        <is>
          <t>Prezzo Richiesto (€/mq)</t>
        </is>
      </c>
      <c r="AS5" s="3" t="inlineStr">
        <is>
          <t>Equivalente Richiesto (€/Pertica)</t>
        </is>
      </c>
      <c r="AT5" s="3" t="inlineStr">
        <is>
          <t>Entro Tetto 8 €/mq?</t>
        </is>
      </c>
    </row>
    <row r="6" ht="24" customHeight="1">
      <c r="A6" s="7" t="n">
        <v>1</v>
      </c>
      <c r="B6" s="32" t="inlineStr">
        <is>
          <t>PC-A21-091</t>
        </is>
      </c>
      <c r="C6" s="8" t="inlineStr">
        <is>
          <t>Riserva Periurbana (&lt;250m Z.I./Res.)</t>
        </is>
      </c>
      <c r="D6" s="8" t="inlineStr">
        <is>
          <t>⚠️ Riserva Periurbana (Verifica PRG/Prezzo)</t>
        </is>
      </c>
      <c r="E6" s="6" t="inlineStr">
        <is>
          <t>Piacenza</t>
        </is>
      </c>
      <c r="F6" s="7" t="inlineStr">
        <is>
          <t>G535</t>
        </is>
      </c>
      <c r="G6" s="7" t="n">
        <v>26</v>
      </c>
      <c r="H6" s="7" t="n">
        <v>232</v>
      </c>
      <c r="I6" s="52" t="n">
        <v>11.91</v>
      </c>
      <c r="J6" s="52" t="n">
        <v>9.359999999999999</v>
      </c>
      <c r="K6" s="53">
        <f>I6*13.1230</f>
        <v/>
      </c>
      <c r="L6" s="53">
        <f>J6*13.1230</f>
        <v/>
      </c>
      <c r="M6" s="7" t="inlineStr">
        <is>
          <t>A21</t>
        </is>
      </c>
      <c r="N6" s="54" t="n">
        <v>15</v>
      </c>
      <c r="O6" s="54" t="n">
        <v>73</v>
      </c>
      <c r="P6" s="7" t="n">
        <v>132</v>
      </c>
      <c r="Q6" s="8" t="inlineStr">
        <is>
          <t>(senza nome) (132 kV)</t>
        </is>
      </c>
      <c r="R6" s="55" t="n">
        <v>2</v>
      </c>
      <c r="S6" s="8" t="inlineStr">
        <is>
          <t>CP Piacenza (AC001E01168)</t>
        </is>
      </c>
      <c r="T6" s="54" t="n">
        <v>2600</v>
      </c>
      <c r="U6" s="11" t="n">
        <v>214000</v>
      </c>
      <c r="V6" s="56" t="n">
        <v>9.93</v>
      </c>
      <c r="W6" s="56" t="n">
        <v>7.8</v>
      </c>
      <c r="X6" s="54" t="n">
        <v>15816</v>
      </c>
      <c r="Y6" s="10" t="n">
        <v>5.65</v>
      </c>
      <c r="Z6" s="12" t="n">
        <v>6.15</v>
      </c>
      <c r="AA6" s="14">
        <f>Z6*762.02</f>
        <v/>
      </c>
      <c r="AB6" s="13">
        <f>I6*10000*Z6</f>
        <v/>
      </c>
      <c r="AC6" s="7" t="inlineStr">
        <is>
          <t>6.00-7.60</t>
        </is>
      </c>
      <c r="AD6" s="7" t="inlineStr">
        <is>
          <t>80-140</t>
        </is>
      </c>
      <c r="AE6" s="20" t="n">
        <v>8.5</v>
      </c>
      <c r="AF6" s="22">
        <f>AE6*762.02</f>
        <v/>
      </c>
      <c r="AG6" s="21">
        <f>I6*10000*AE6</f>
        <v/>
      </c>
      <c r="AH6" s="21">
        <f>I6*10000*$C$3</f>
        <v/>
      </c>
      <c r="AI6" s="11">
        <f>I6*700</f>
        <v/>
      </c>
      <c r="AJ6" s="57">
        <f>I6*3000</f>
        <v/>
      </c>
      <c r="AK6" s="57">
        <f>AJ6*30</f>
        <v/>
      </c>
      <c r="AL6" s="58" t="n">
        <v>76.5</v>
      </c>
      <c r="AM6" s="59" t="n">
        <v>45.048762</v>
      </c>
      <c r="AN6" s="59" t="n">
        <v>9.760785</v>
      </c>
      <c r="AO6" s="60" t="inlineStr">
        <is>
          <t>Apri Google Maps</t>
        </is>
      </c>
      <c r="AP6" s="8" t="inlineStr">
        <is>
          <t>Linea AT 132 kV a ~73 m; Area residenziale a ~375 m: verificare la destinazione urbanistica; 2,6 ha oltre i 300 m</t>
        </is>
      </c>
      <c r="AQ6" s="47" t="n"/>
      <c r="AR6" s="61" t="n"/>
      <c r="AS6" s="62">
        <f>IF(AR6="","",AR6*762.02)</f>
        <v/>
      </c>
      <c r="AT6" s="7">
        <f>IF(AR6="","",IF(AR6&lt;=$C$3,"SÌ (ENTRO 8€/MQ)","NO (SOPRA SOGLIA -&gt; PROPORRE DDS)"))</f>
        <v/>
      </c>
    </row>
    <row r="7" ht="24" customHeight="1">
      <c r="A7" s="7" t="n">
        <v>2</v>
      </c>
      <c r="B7" s="32" t="inlineStr">
        <is>
          <t>PC-A1-092</t>
        </is>
      </c>
      <c r="C7" s="8" t="inlineStr">
        <is>
          <t>Riserva Periurbana (&lt;250m Z.I./Res.)</t>
        </is>
      </c>
      <c r="D7" s="8" t="inlineStr">
        <is>
          <t>⚠️ Riserva Periurbana (Verifica PRG/Prezzo)</t>
        </is>
      </c>
      <c r="E7" s="6" t="inlineStr">
        <is>
          <t>Piacenza</t>
        </is>
      </c>
      <c r="F7" s="7" t="inlineStr">
        <is>
          <t>G535</t>
        </is>
      </c>
      <c r="G7" s="7" t="n">
        <v>24</v>
      </c>
      <c r="H7" s="7" t="n">
        <v>982</v>
      </c>
      <c r="I7" s="52" t="n">
        <v>9.17</v>
      </c>
      <c r="J7" s="52" t="n">
        <v>7.73</v>
      </c>
      <c r="K7" s="53">
        <f>I7*13.1230</f>
        <v/>
      </c>
      <c r="L7" s="53">
        <f>J7*13.1230</f>
        <v/>
      </c>
      <c r="M7" s="7" t="inlineStr">
        <is>
          <t>A1</t>
        </is>
      </c>
      <c r="N7" s="54" t="n">
        <v>107</v>
      </c>
      <c r="O7" s="54" t="n">
        <v>155</v>
      </c>
      <c r="P7" s="7" t="n">
        <v>380</v>
      </c>
      <c r="Q7" s="8" t="inlineStr">
        <is>
          <t>Tecnoborgo (132 kV)</t>
        </is>
      </c>
      <c r="R7" s="55" t="n">
        <v>0.5</v>
      </c>
      <c r="S7" s="8" t="inlineStr">
        <is>
          <t>CP Piacenza (AC001E01168)</t>
        </is>
      </c>
      <c r="T7" s="54" t="n">
        <v>650</v>
      </c>
      <c r="U7" s="11" t="n">
        <v>87250</v>
      </c>
      <c r="V7" s="56" t="n">
        <v>7.64</v>
      </c>
      <c r="W7" s="56" t="n">
        <v>6.44</v>
      </c>
      <c r="X7" s="54" t="n">
        <v>12168</v>
      </c>
      <c r="Y7" s="10" t="n">
        <v>5.65</v>
      </c>
      <c r="Z7" s="12" t="n">
        <v>6.15</v>
      </c>
      <c r="AA7" s="14">
        <f>Z7*762.02</f>
        <v/>
      </c>
      <c r="AB7" s="13">
        <f>I7*10000*Z7</f>
        <v/>
      </c>
      <c r="AC7" s="7" t="inlineStr">
        <is>
          <t>6.00-7.60</t>
        </is>
      </c>
      <c r="AD7" s="7" t="inlineStr">
        <is>
          <t>80-140</t>
        </is>
      </c>
      <c r="AE7" s="20" t="n">
        <v>8.5</v>
      </c>
      <c r="AF7" s="22">
        <f>AE7*762.02</f>
        <v/>
      </c>
      <c r="AG7" s="21">
        <f>I7*10000*AE7</f>
        <v/>
      </c>
      <c r="AH7" s="21">
        <f>I7*10000*$C$3</f>
        <v/>
      </c>
      <c r="AI7" s="11">
        <f>I7*700</f>
        <v/>
      </c>
      <c r="AJ7" s="57">
        <f>I7*3000</f>
        <v/>
      </c>
      <c r="AK7" s="57">
        <f>AJ7*30</f>
        <v/>
      </c>
      <c r="AL7" s="58" t="n">
        <v>84.5</v>
      </c>
      <c r="AM7" s="59" t="n">
        <v>45.055242</v>
      </c>
      <c r="AN7" s="59" t="n">
        <v>9.737135</v>
      </c>
      <c r="AO7" s="60" t="inlineStr">
        <is>
          <t>Apri Google Maps</t>
        </is>
      </c>
      <c r="AP7" s="8" t="inlineStr">
        <is>
          <t>Linea AT 380 kV a ~155 m; Stazione elettrica Tecnoborgo a ~0,5 km; Area produttiva a ~226 m: verificare la destinazione urbanistica; 1,4 ha oltre i 300 m</t>
        </is>
      </c>
      <c r="AQ7" s="47" t="n"/>
      <c r="AR7" s="61" t="n"/>
      <c r="AS7" s="62">
        <f>IF(AR7="","",AR7*762.02)</f>
        <v/>
      </c>
      <c r="AT7" s="7">
        <f>IF(AR7="","",IF(AR7&lt;=$C$3,"SÌ (ENTRO 8€/MQ)","NO (SOPRA SOGLIA -&gt; PROPORRE DDS)"))</f>
        <v/>
      </c>
    </row>
    <row r="8" ht="24" customHeight="1">
      <c r="A8" s="7" t="n">
        <v>3</v>
      </c>
      <c r="B8" s="32" t="inlineStr">
        <is>
          <t>PC-A1-093</t>
        </is>
      </c>
      <c r="C8" s="8" t="inlineStr">
        <is>
          <t>Riserva Periurbana (&lt;250m Z.I./Res.)</t>
        </is>
      </c>
      <c r="D8" s="8" t="inlineStr">
        <is>
          <t>⚠️ Riserva Periurbana (Verifica PRG/Prezzo)</t>
        </is>
      </c>
      <c r="E8" s="6" t="inlineStr">
        <is>
          <t>Pontenure</t>
        </is>
      </c>
      <c r="F8" s="7" t="inlineStr">
        <is>
          <t>G852</t>
        </is>
      </c>
      <c r="G8" s="7" t="n">
        <v>13</v>
      </c>
      <c r="H8" s="7" t="n">
        <v>28</v>
      </c>
      <c r="I8" s="52" t="n">
        <v>7.58</v>
      </c>
      <c r="J8" s="52" t="n">
        <v>7.58</v>
      </c>
      <c r="K8" s="53">
        <f>I8*13.1230</f>
        <v/>
      </c>
      <c r="L8" s="53">
        <f>J8*13.1230</f>
        <v/>
      </c>
      <c r="M8" s="7" t="inlineStr">
        <is>
          <t>A1</t>
        </is>
      </c>
      <c r="N8" s="54" t="n">
        <v>17</v>
      </c>
      <c r="O8" s="54" t="n">
        <v>202</v>
      </c>
      <c r="P8" s="7" t="n">
        <v>132</v>
      </c>
      <c r="Q8" s="8" t="inlineStr">
        <is>
          <t>(senza nome) (132 kV)</t>
        </is>
      </c>
      <c r="R8" s="55" t="n">
        <v>4.1</v>
      </c>
      <c r="S8" s="8" t="inlineStr">
        <is>
          <t>CP Pontenure 132/15 kV</t>
        </is>
      </c>
      <c r="T8" s="54" t="n">
        <v>3965</v>
      </c>
      <c r="U8" s="11" t="n">
        <v>302725</v>
      </c>
      <c r="V8" s="56" t="n">
        <v>6.32</v>
      </c>
      <c r="W8" s="56" t="n">
        <v>6.32</v>
      </c>
      <c r="X8" s="54" t="n">
        <v>10066</v>
      </c>
      <c r="Y8" s="10" t="n">
        <v>5.85</v>
      </c>
      <c r="Z8" s="12" t="n">
        <v>6.1</v>
      </c>
      <c r="AA8" s="14">
        <f>Z8*762.02</f>
        <v/>
      </c>
      <c r="AB8" s="13">
        <f>I8*10000*Z8</f>
        <v/>
      </c>
      <c r="AC8" s="7" t="inlineStr">
        <is>
          <t>6.00-7.35</t>
        </is>
      </c>
      <c r="AD8" s="7" t="inlineStr">
        <is>
          <t>85-110</t>
        </is>
      </c>
      <c r="AE8" s="20" t="n">
        <v>8.5</v>
      </c>
      <c r="AF8" s="22">
        <f>AE8*762.02</f>
        <v/>
      </c>
      <c r="AG8" s="21">
        <f>I8*10000*AE8</f>
        <v/>
      </c>
      <c r="AH8" s="21">
        <f>I8*10000*$C$3</f>
        <v/>
      </c>
      <c r="AI8" s="11">
        <f>I8*680</f>
        <v/>
      </c>
      <c r="AJ8" s="57">
        <f>I8*3000</f>
        <v/>
      </c>
      <c r="AK8" s="57">
        <f>AJ8*30</f>
        <v/>
      </c>
      <c r="AL8" s="58" t="n">
        <v>71</v>
      </c>
      <c r="AM8" s="59" t="n">
        <v>45.000605</v>
      </c>
      <c r="AN8" s="59" t="n">
        <v>9.809872</v>
      </c>
      <c r="AO8" s="60" t="inlineStr">
        <is>
          <t>Apri Google Maps</t>
        </is>
      </c>
      <c r="AP8" s="8" t="inlineStr">
        <is>
          <t>Linea AT 132 kV a ~202 m; Area produttiva a ~247 m: verificare la destinazione urbanistica</t>
        </is>
      </c>
      <c r="AQ8" s="47" t="n"/>
      <c r="AR8" s="61" t="n"/>
      <c r="AS8" s="62">
        <f>IF(AR8="","",AR8*762.02)</f>
        <v/>
      </c>
      <c r="AT8" s="7">
        <f>IF(AR8="","",IF(AR8&lt;=$C$3,"SÌ (ENTRO 8€/MQ)","NO (SOPRA SOGLIA -&gt; PROPORRE DDS)"))</f>
        <v/>
      </c>
    </row>
    <row r="9" ht="24" customHeight="1">
      <c r="A9" s="7" t="n">
        <v>4</v>
      </c>
      <c r="B9" s="32" t="inlineStr">
        <is>
          <t>PC-A21-094</t>
        </is>
      </c>
      <c r="C9" s="8" t="inlineStr">
        <is>
          <t>Riserva Periurbana (&lt;250m Z.I./Res.)</t>
        </is>
      </c>
      <c r="D9" s="8" t="inlineStr">
        <is>
          <t>⚠️ Riserva Periurbana (Verifica PRG/Prezzo)</t>
        </is>
      </c>
      <c r="E9" s="6" t="inlineStr">
        <is>
          <t>Caorso</t>
        </is>
      </c>
      <c r="F9" s="7" t="inlineStr">
        <is>
          <t>B643</t>
        </is>
      </c>
      <c r="G9" s="7" t="n">
        <v>18</v>
      </c>
      <c r="H9" s="7" t="n">
        <v>109</v>
      </c>
      <c r="I9" s="52" t="n">
        <v>7.58</v>
      </c>
      <c r="J9" s="52" t="n">
        <v>7.46</v>
      </c>
      <c r="K9" s="53">
        <f>I9*13.1230</f>
        <v/>
      </c>
      <c r="L9" s="53">
        <f>J9*13.1230</f>
        <v/>
      </c>
      <c r="M9" s="7" t="inlineStr">
        <is>
          <t>A21</t>
        </is>
      </c>
      <c r="N9" s="54" t="n">
        <v>14</v>
      </c>
      <c r="O9" s="54" t="n">
        <v>458</v>
      </c>
      <c r="P9" s="7" t="n">
        <v>132</v>
      </c>
      <c r="Q9" s="8" t="inlineStr">
        <is>
          <t>(senza nome) (132 kV)</t>
        </is>
      </c>
      <c r="R9" s="55" t="n">
        <v>4.4</v>
      </c>
      <c r="S9" s="8" t="inlineStr">
        <is>
          <t>CP Pontenure (AC001E01166)</t>
        </is>
      </c>
      <c r="T9" s="54" t="n">
        <v>5720</v>
      </c>
      <c r="U9" s="11" t="n">
        <v>416800</v>
      </c>
      <c r="V9" s="56" t="n">
        <v>6.32</v>
      </c>
      <c r="W9" s="56" t="n">
        <v>6.22</v>
      </c>
      <c r="X9" s="54" t="n">
        <v>10066</v>
      </c>
      <c r="Y9" s="10" t="n">
        <v>5.55</v>
      </c>
      <c r="Z9" s="12" t="n">
        <v>5.45</v>
      </c>
      <c r="AA9" s="14">
        <f>Z9*762.02</f>
        <v/>
      </c>
      <c r="AB9" s="13">
        <f>I9*10000*Z9</f>
        <v/>
      </c>
      <c r="AC9" s="7" t="inlineStr">
        <is>
          <t>5.20-6.50</t>
        </is>
      </c>
      <c r="AD9" s="7" t="inlineStr">
        <is>
          <t>85-100</t>
        </is>
      </c>
      <c r="AE9" s="20" t="n">
        <v>8.5</v>
      </c>
      <c r="AF9" s="22">
        <f>AE9*762.02</f>
        <v/>
      </c>
      <c r="AG9" s="21">
        <f>I9*10000*AE9</f>
        <v/>
      </c>
      <c r="AH9" s="21">
        <f>I9*10000*$C$3</f>
        <v/>
      </c>
      <c r="AI9" s="11">
        <f>I9*620</f>
        <v/>
      </c>
      <c r="AJ9" s="57">
        <f>I9*3000</f>
        <v/>
      </c>
      <c r="AK9" s="57">
        <f>AJ9*30</f>
        <v/>
      </c>
      <c r="AL9" s="58" t="n">
        <v>67</v>
      </c>
      <c r="AM9" s="59" t="n">
        <v>45.043973</v>
      </c>
      <c r="AN9" s="59" t="n">
        <v>9.824945</v>
      </c>
      <c r="AO9" s="60" t="inlineStr">
        <is>
          <t>Apri Google Maps</t>
        </is>
      </c>
      <c r="AP9" s="8" t="inlineStr">
        <is>
          <t>Area produttiva a ~6 m: verificare la destinazione urbanistica</t>
        </is>
      </c>
      <c r="AQ9" s="47" t="n"/>
      <c r="AR9" s="61" t="n"/>
      <c r="AS9" s="62">
        <f>IF(AR9="","",AR9*762.02)</f>
        <v/>
      </c>
      <c r="AT9" s="7">
        <f>IF(AR9="","",IF(AR9&lt;=$C$3,"SÌ (ENTRO 8€/MQ)","NO (SOPRA SOGLIA -&gt; PROPORRE DDS)"))</f>
        <v/>
      </c>
    </row>
    <row r="10" ht="24" customHeight="1">
      <c r="A10" s="7" t="n">
        <v>5</v>
      </c>
      <c r="B10" s="32" t="inlineStr">
        <is>
          <t>PC-A21-095</t>
        </is>
      </c>
      <c r="C10" s="8" t="inlineStr">
        <is>
          <t>Riserva Periurbana (&lt;250m Z.I./Res.)</t>
        </is>
      </c>
      <c r="D10" s="8" t="inlineStr">
        <is>
          <t>⚠️ Riserva Periurbana (Verifica PRG/Prezzo)</t>
        </is>
      </c>
      <c r="E10" s="6" t="inlineStr">
        <is>
          <t>Caorso</t>
        </is>
      </c>
      <c r="F10" s="7" t="inlineStr">
        <is>
          <t>B643</t>
        </is>
      </c>
      <c r="G10" s="7" t="n">
        <v>18</v>
      </c>
      <c r="H10" s="7" t="n">
        <v>69</v>
      </c>
      <c r="I10" s="52" t="n">
        <v>12.19</v>
      </c>
      <c r="J10" s="52" t="n">
        <v>7.21</v>
      </c>
      <c r="K10" s="53">
        <f>I10*13.1230</f>
        <v/>
      </c>
      <c r="L10" s="53">
        <f>J10*13.1230</f>
        <v/>
      </c>
      <c r="M10" s="7" t="inlineStr">
        <is>
          <t>A21</t>
        </is>
      </c>
      <c r="N10" s="54" t="n">
        <v>19</v>
      </c>
      <c r="O10" s="54" t="n">
        <v>1113</v>
      </c>
      <c r="P10" s="7" t="n">
        <v>132</v>
      </c>
      <c r="Q10" s="8" t="inlineStr">
        <is>
          <t>Caorso (380 kV)</t>
        </is>
      </c>
      <c r="R10" s="55" t="n">
        <v>3.9</v>
      </c>
      <c r="S10" s="8" t="inlineStr">
        <is>
          <t>CP Pontenure (AC001E01166)</t>
        </is>
      </c>
      <c r="T10" s="54" t="n">
        <v>5070</v>
      </c>
      <c r="U10" s="11" t="n">
        <v>374550</v>
      </c>
      <c r="V10" s="56" t="n">
        <v>10.16</v>
      </c>
      <c r="W10" s="56" t="n">
        <v>6.01</v>
      </c>
      <c r="X10" s="54" t="n">
        <v>16182</v>
      </c>
      <c r="Y10" s="10" t="n">
        <v>5.55</v>
      </c>
      <c r="Z10" s="12" t="n">
        <v>5.45</v>
      </c>
      <c r="AA10" s="14">
        <f>Z10*762.02</f>
        <v/>
      </c>
      <c r="AB10" s="13">
        <f>I10*10000*Z10</f>
        <v/>
      </c>
      <c r="AC10" s="7" t="inlineStr">
        <is>
          <t>5.20-6.50</t>
        </is>
      </c>
      <c r="AD10" s="7" t="inlineStr">
        <is>
          <t>85-100</t>
        </is>
      </c>
      <c r="AE10" s="20" t="n">
        <v>8.5</v>
      </c>
      <c r="AF10" s="22">
        <f>AE10*762.02</f>
        <v/>
      </c>
      <c r="AG10" s="21">
        <f>I10*10000*AE10</f>
        <v/>
      </c>
      <c r="AH10" s="21">
        <f>I10*10000*$C$3</f>
        <v/>
      </c>
      <c r="AI10" s="11">
        <f>I10*620</f>
        <v/>
      </c>
      <c r="AJ10" s="57">
        <f>I10*3000</f>
        <v/>
      </c>
      <c r="AK10" s="57">
        <f>AJ10*30</f>
        <v/>
      </c>
      <c r="AL10" s="58" t="n">
        <v>67.5</v>
      </c>
      <c r="AM10" s="59" t="n">
        <v>45.043184</v>
      </c>
      <c r="AN10" s="59" t="n">
        <v>9.838266000000001</v>
      </c>
      <c r="AO10" s="60" t="inlineStr">
        <is>
          <t>Apri Google Maps</t>
        </is>
      </c>
      <c r="AP10" s="8" t="inlineStr">
        <is>
          <t>Area produttiva a ~221 m: verificare la destinazione urbanistica; 5,0 ha oltre i 300 m</t>
        </is>
      </c>
      <c r="AQ10" s="47" t="n"/>
      <c r="AR10" s="61" t="n"/>
      <c r="AS10" s="62">
        <f>IF(AR10="","",AR10*762.02)</f>
        <v/>
      </c>
      <c r="AT10" s="7">
        <f>IF(AR10="","",IF(AR10&lt;=$C$3,"SÌ (ENTRO 8€/MQ)","NO (SOPRA SOGLIA -&gt; PROPORRE DDS)"))</f>
        <v/>
      </c>
    </row>
    <row r="11" ht="24" customHeight="1">
      <c r="A11" s="7" t="n">
        <v>6</v>
      </c>
      <c r="B11" s="32" t="inlineStr">
        <is>
          <t>PC-A21-096</t>
        </is>
      </c>
      <c r="C11" s="8" t="inlineStr">
        <is>
          <t>Riserva Periurbana (&lt;250m Z.I./Res.)</t>
        </is>
      </c>
      <c r="D11" s="8" t="inlineStr">
        <is>
          <t>⚠️ Riserva Periurbana (Verifica PRG/Prezzo)</t>
        </is>
      </c>
      <c r="E11" s="6" t="inlineStr">
        <is>
          <t>Piacenza</t>
        </is>
      </c>
      <c r="F11" s="7" t="inlineStr">
        <is>
          <t>G535</t>
        </is>
      </c>
      <c r="G11" s="7" t="n">
        <v>27</v>
      </c>
      <c r="H11" s="7" t="n">
        <v>1108</v>
      </c>
      <c r="I11" s="52" t="n">
        <v>8.779999999999999</v>
      </c>
      <c r="J11" s="52" t="n">
        <v>7.16</v>
      </c>
      <c r="K11" s="53">
        <f>I11*13.1230</f>
        <v/>
      </c>
      <c r="L11" s="53">
        <f>J11*13.1230</f>
        <v/>
      </c>
      <c r="M11" s="7" t="inlineStr">
        <is>
          <t>A21</t>
        </is>
      </c>
      <c r="N11" s="54" t="n">
        <v>16</v>
      </c>
      <c r="O11" s="54" t="n">
        <v>3</v>
      </c>
      <c r="P11" s="7" t="n">
        <v>132</v>
      </c>
      <c r="Q11" s="8" t="inlineStr">
        <is>
          <t>(senza nome) (132 kV)</t>
        </is>
      </c>
      <c r="R11" s="55" t="n">
        <v>2.3</v>
      </c>
      <c r="S11" s="8" t="inlineStr">
        <is>
          <t>CP Piacenza (AC001E01168)</t>
        </is>
      </c>
      <c r="T11" s="54" t="n">
        <v>2990</v>
      </c>
      <c r="U11" s="11" t="n">
        <v>239350</v>
      </c>
      <c r="V11" s="56" t="n">
        <v>7.32</v>
      </c>
      <c r="W11" s="56" t="n">
        <v>5.97</v>
      </c>
      <c r="X11" s="54" t="n">
        <v>11659</v>
      </c>
      <c r="Y11" s="10" t="n">
        <v>5.65</v>
      </c>
      <c r="Z11" s="12" t="n">
        <v>6.15</v>
      </c>
      <c r="AA11" s="14">
        <f>Z11*762.02</f>
        <v/>
      </c>
      <c r="AB11" s="13">
        <f>I11*10000*Z11</f>
        <v/>
      </c>
      <c r="AC11" s="7" t="inlineStr">
        <is>
          <t>6.00-7.60</t>
        </is>
      </c>
      <c r="AD11" s="7" t="inlineStr">
        <is>
          <t>80-140</t>
        </is>
      </c>
      <c r="AE11" s="20" t="n">
        <v>8.5</v>
      </c>
      <c r="AF11" s="22">
        <f>AE11*762.02</f>
        <v/>
      </c>
      <c r="AG11" s="21">
        <f>I11*10000*AE11</f>
        <v/>
      </c>
      <c r="AH11" s="21">
        <f>I11*10000*$C$3</f>
        <v/>
      </c>
      <c r="AI11" s="11">
        <f>I11*700</f>
        <v/>
      </c>
      <c r="AJ11" s="57">
        <f>I11*3000</f>
        <v/>
      </c>
      <c r="AK11" s="57">
        <f>AJ11*30</f>
        <v/>
      </c>
      <c r="AL11" s="58" t="n">
        <v>76</v>
      </c>
      <c r="AM11" s="59" t="n">
        <v>45.052295</v>
      </c>
      <c r="AN11" s="59" t="n">
        <v>9.76821</v>
      </c>
      <c r="AO11" s="60" t="inlineStr">
        <is>
          <t>Apri Google Maps</t>
        </is>
      </c>
      <c r="AP11" s="8" t="inlineStr">
        <is>
          <t>Linea AT 132 kV sul fondo o al confine: condiziona il layout, ma la rete è vicina; 1,6 ha oltre i 300 m</t>
        </is>
      </c>
      <c r="AQ11" s="47" t="n"/>
      <c r="AR11" s="61" t="n"/>
      <c r="AS11" s="62">
        <f>IF(AR11="","",AR11*762.02)</f>
        <v/>
      </c>
      <c r="AT11" s="7">
        <f>IF(AR11="","",IF(AR11&lt;=$C$3,"SÌ (ENTRO 8€/MQ)","NO (SOPRA SOGLIA -&gt; PROPORRE DDS)"))</f>
        <v/>
      </c>
    </row>
    <row r="12" ht="24" customHeight="1">
      <c r="A12" s="7" t="n">
        <v>7</v>
      </c>
      <c r="B12" s="32" t="inlineStr">
        <is>
          <t>PC-A21-097</t>
        </is>
      </c>
      <c r="C12" s="8" t="inlineStr">
        <is>
          <t>Riserva Periurbana (&lt;250m Z.I./Res.)</t>
        </is>
      </c>
      <c r="D12" s="8" t="inlineStr">
        <is>
          <t>⚠️ Riserva Periurbana (Verifica PRG/Prezzo)</t>
        </is>
      </c>
      <c r="E12" s="6" t="inlineStr">
        <is>
          <t>Monticelli d'Ongina</t>
        </is>
      </c>
      <c r="F12" s="7" t="inlineStr">
        <is>
          <t>F671</t>
        </is>
      </c>
      <c r="G12" s="7" t="n">
        <v>32</v>
      </c>
      <c r="H12" s="7" t="n">
        <v>8</v>
      </c>
      <c r="I12" s="52" t="n">
        <v>6.69</v>
      </c>
      <c r="J12" s="52" t="n">
        <v>6.69</v>
      </c>
      <c r="K12" s="53">
        <f>I12*13.1230</f>
        <v/>
      </c>
      <c r="L12" s="53">
        <f>J12*13.1230</f>
        <v/>
      </c>
      <c r="M12" s="7" t="inlineStr">
        <is>
          <t>A21</t>
        </is>
      </c>
      <c r="N12" s="54" t="n">
        <v>14</v>
      </c>
      <c r="O12" s="54" t="n">
        <v>237</v>
      </c>
      <c r="P12" s="7" t="n">
        <v>380</v>
      </c>
      <c r="Q12" s="8" t="inlineStr">
        <is>
          <t>Monticelli Ferrovia (132 kV)</t>
        </is>
      </c>
      <c r="R12" s="55" t="n">
        <v>2</v>
      </c>
      <c r="S12" s="8" t="inlineStr">
        <is>
          <t>CP Monticelli d'Ongina (AC001E01173)</t>
        </is>
      </c>
      <c r="T12" s="54" t="n">
        <v>2600</v>
      </c>
      <c r="U12" s="11" t="n">
        <v>214000</v>
      </c>
      <c r="V12" s="56" t="n">
        <v>5.58</v>
      </c>
      <c r="W12" s="56" t="n">
        <v>5.58</v>
      </c>
      <c r="X12" s="54" t="n">
        <v>8887</v>
      </c>
      <c r="Y12" s="10" t="n">
        <v>5.5</v>
      </c>
      <c r="Z12" s="12" t="n">
        <v>5.35</v>
      </c>
      <c r="AA12" s="14">
        <f>Z12*762.02</f>
        <v/>
      </c>
      <c r="AB12" s="13">
        <f>I12*10000*Z12</f>
        <v/>
      </c>
      <c r="AC12" s="7" t="inlineStr">
        <is>
          <t>5.15-6.35</t>
        </is>
      </c>
      <c r="AD12" s="7" t="inlineStr">
        <is>
          <t>55-80</t>
        </is>
      </c>
      <c r="AE12" s="20" t="n">
        <v>8.5</v>
      </c>
      <c r="AF12" s="22">
        <f>AE12*762.02</f>
        <v/>
      </c>
      <c r="AG12" s="21">
        <f>I12*10000*AE12</f>
        <v/>
      </c>
      <c r="AH12" s="21">
        <f>I12*10000*$C$3</f>
        <v/>
      </c>
      <c r="AI12" s="11">
        <f>I12*610</f>
        <v/>
      </c>
      <c r="AJ12" s="57">
        <f>I12*3000</f>
        <v/>
      </c>
      <c r="AK12" s="57">
        <f>AJ12*30</f>
        <v/>
      </c>
      <c r="AL12" s="58" t="n">
        <v>76</v>
      </c>
      <c r="AM12" s="59" t="n">
        <v>45.060423</v>
      </c>
      <c r="AN12" s="59" t="n">
        <v>9.943987999999999</v>
      </c>
      <c r="AO12" s="60" t="inlineStr">
        <is>
          <t>Apri Google Maps</t>
        </is>
      </c>
      <c r="AP12" s="8" t="inlineStr">
        <is>
          <t>Linea AT 380 kV a ~237 m; Area cantiere a ~140 m: verificare la destinazione urbanistica</t>
        </is>
      </c>
      <c r="AQ12" s="47" t="n"/>
      <c r="AR12" s="61" t="n"/>
      <c r="AS12" s="62">
        <f>IF(AR12="","",AR12*762.02)</f>
        <v/>
      </c>
      <c r="AT12" s="7">
        <f>IF(AR12="","",IF(AR12&lt;=$C$3,"SÌ (ENTRO 8€/MQ)","NO (SOPRA SOGLIA -&gt; PROPORRE DDS)"))</f>
        <v/>
      </c>
    </row>
    <row r="13" ht="24" customHeight="1">
      <c r="A13" s="7" t="n">
        <v>8</v>
      </c>
      <c r="B13" s="32" t="inlineStr">
        <is>
          <t>PC-A21-098</t>
        </is>
      </c>
      <c r="C13" s="8" t="inlineStr">
        <is>
          <t>Riserva Periurbana (&lt;250m Z.I./Res.)</t>
        </is>
      </c>
      <c r="D13" s="8" t="inlineStr">
        <is>
          <t>⚠️ Riserva Periurbana (Verifica PRG/Prezzo)</t>
        </is>
      </c>
      <c r="E13" s="6" t="inlineStr">
        <is>
          <t>San Pietro in Cerro</t>
        </is>
      </c>
      <c r="F13" s="7" t="inlineStr">
        <is>
          <t>G788</t>
        </is>
      </c>
      <c r="G13" s="7" t="n">
        <v>2</v>
      </c>
      <c r="H13" s="7" t="n">
        <v>12</v>
      </c>
      <c r="I13" s="52" t="n">
        <v>10.16</v>
      </c>
      <c r="J13" s="52" t="n">
        <v>6.61</v>
      </c>
      <c r="K13" s="53">
        <f>I13*13.1230</f>
        <v/>
      </c>
      <c r="L13" s="53">
        <f>J13*13.1230</f>
        <v/>
      </c>
      <c r="M13" s="7" t="inlineStr">
        <is>
          <t>A21</t>
        </is>
      </c>
      <c r="N13" s="54" t="n">
        <v>41</v>
      </c>
      <c r="O13" s="54" t="n">
        <v>8</v>
      </c>
      <c r="P13" s="7" t="n">
        <v>132</v>
      </c>
      <c r="Q13" s="8" t="inlineStr">
        <is>
          <t>Monticelli Ferrovia (132 kV)</t>
        </is>
      </c>
      <c r="R13" s="55" t="n">
        <v>0.7</v>
      </c>
      <c r="S13" s="8" t="inlineStr">
        <is>
          <t>CP Monticelli d'Ongina (AC001E01173)</t>
        </is>
      </c>
      <c r="T13" s="54" t="n">
        <v>910</v>
      </c>
      <c r="U13" s="11" t="n">
        <v>104150</v>
      </c>
      <c r="V13" s="56" t="n">
        <v>8.470000000000001</v>
      </c>
      <c r="W13" s="56" t="n">
        <v>5.51</v>
      </c>
      <c r="X13" s="54" t="n">
        <v>13490</v>
      </c>
      <c r="Y13" s="10" t="n">
        <v>5.5</v>
      </c>
      <c r="Z13" s="12" t="n">
        <v>5.15</v>
      </c>
      <c r="AA13" s="14">
        <f>Z13*762.02</f>
        <v/>
      </c>
      <c r="AB13" s="13">
        <f>I13*10000*Z13</f>
        <v/>
      </c>
      <c r="AC13" s="7" t="inlineStr">
        <is>
          <t>4.90-6.10</t>
        </is>
      </c>
      <c r="AD13" s="7" t="inlineStr">
        <is>
          <t>50-70</t>
        </is>
      </c>
      <c r="AE13" s="20" t="n">
        <v>8.5</v>
      </c>
      <c r="AF13" s="22">
        <f>AE13*762.02</f>
        <v/>
      </c>
      <c r="AG13" s="21">
        <f>I13*10000*AE13</f>
        <v/>
      </c>
      <c r="AH13" s="21">
        <f>I13*10000*$C$3</f>
        <v/>
      </c>
      <c r="AI13" s="11">
        <f>I13*580</f>
        <v/>
      </c>
      <c r="AJ13" s="57">
        <f>I13*3000</f>
        <v/>
      </c>
      <c r="AK13" s="57">
        <f>AJ13*30</f>
        <v/>
      </c>
      <c r="AL13" s="58" t="n">
        <v>84.5</v>
      </c>
      <c r="AM13" s="59" t="n">
        <v>45.05615</v>
      </c>
      <c r="AN13" s="59" t="n">
        <v>9.92301</v>
      </c>
      <c r="AO13" s="60" t="inlineStr">
        <is>
          <t>Apri Google Maps</t>
        </is>
      </c>
      <c r="AP13" s="8" t="inlineStr">
        <is>
          <t>Linea AT 132 kV sul fondo o al confine: condiziona il layout, ma la rete è vicina; Stazione elettrica Monticelli Ferrovia a ~0,7 km; Area produttiva a ~230 m: verificare la destinazione urbanistica; 3,5 ha oltre i 300 m</t>
        </is>
      </c>
      <c r="AQ13" s="47" t="n"/>
      <c r="AR13" s="61" t="n"/>
      <c r="AS13" s="62">
        <f>IF(AR13="","",AR13*762.02)</f>
        <v/>
      </c>
      <c r="AT13" s="7">
        <f>IF(AR13="","",IF(AR13&lt;=$C$3,"SÌ (ENTRO 8€/MQ)","NO (SOPRA SOGLIA -&gt; PROPORRE DDS)"))</f>
        <v/>
      </c>
    </row>
    <row r="14" ht="24" customHeight="1">
      <c r="A14" s="7" t="n">
        <v>9</v>
      </c>
      <c r="B14" s="32" t="inlineStr">
        <is>
          <t>PC-A1-099</t>
        </is>
      </c>
      <c r="C14" s="8" t="inlineStr">
        <is>
          <t>Riserva Periurbana (&lt;250m Z.I./Res.)</t>
        </is>
      </c>
      <c r="D14" s="8" t="inlineStr">
        <is>
          <t>⚠️ Riserva Periurbana (Verifica PRG/Prezzo)</t>
        </is>
      </c>
      <c r="E14" s="6" t="inlineStr">
        <is>
          <t>Piacenza</t>
        </is>
      </c>
      <c r="F14" s="7" t="inlineStr">
        <is>
          <t>G535</t>
        </is>
      </c>
      <c r="G14" s="7" t="n">
        <v>76</v>
      </c>
      <c r="H14" s="7" t="n">
        <v>14</v>
      </c>
      <c r="I14" s="52" t="n">
        <v>6.89</v>
      </c>
      <c r="J14" s="52" t="n">
        <v>6.57</v>
      </c>
      <c r="K14" s="53">
        <f>I14*13.1230</f>
        <v/>
      </c>
      <c r="L14" s="53">
        <f>J14*13.1230</f>
        <v/>
      </c>
      <c r="M14" s="7" t="inlineStr">
        <is>
          <t>A1</t>
        </is>
      </c>
      <c r="N14" s="54" t="n">
        <v>17</v>
      </c>
      <c r="O14" s="54" t="n">
        <v>153</v>
      </c>
      <c r="P14" s="7" t="n">
        <v>132</v>
      </c>
      <c r="Q14" s="8" t="inlineStr">
        <is>
          <t>(senza nome) (132 kV)</t>
        </is>
      </c>
      <c r="R14" s="55" t="n">
        <v>0.7</v>
      </c>
      <c r="S14" s="8" t="inlineStr">
        <is>
          <t>CP Piacenza (AC001E01168)</t>
        </is>
      </c>
      <c r="T14" s="54" t="n">
        <v>910</v>
      </c>
      <c r="U14" s="11" t="n">
        <v>104150</v>
      </c>
      <c r="V14" s="56" t="n">
        <v>5.74</v>
      </c>
      <c r="W14" s="56" t="n">
        <v>5.48</v>
      </c>
      <c r="X14" s="54" t="n">
        <v>9142</v>
      </c>
      <c r="Y14" s="10" t="n">
        <v>5.65</v>
      </c>
      <c r="Z14" s="12" t="n">
        <v>6.15</v>
      </c>
      <c r="AA14" s="14">
        <f>Z14*762.02</f>
        <v/>
      </c>
      <c r="AB14" s="13">
        <f>I14*10000*Z14</f>
        <v/>
      </c>
      <c r="AC14" s="7" t="inlineStr">
        <is>
          <t>6.00-7.60</t>
        </is>
      </c>
      <c r="AD14" s="7" t="inlineStr">
        <is>
          <t>80-140</t>
        </is>
      </c>
      <c r="AE14" s="20" t="n">
        <v>8.5</v>
      </c>
      <c r="AF14" s="22">
        <f>AE14*762.02</f>
        <v/>
      </c>
      <c r="AG14" s="21">
        <f>I14*10000*AE14</f>
        <v/>
      </c>
      <c r="AH14" s="21">
        <f>I14*10000*$C$3</f>
        <v/>
      </c>
      <c r="AI14" s="11">
        <f>I14*700</f>
        <v/>
      </c>
      <c r="AJ14" s="57">
        <f>I14*3000</f>
        <v/>
      </c>
      <c r="AK14" s="57">
        <f>AJ14*30</f>
        <v/>
      </c>
      <c r="AL14" s="58" t="n">
        <v>84</v>
      </c>
      <c r="AM14" s="59" t="n">
        <v>45.037115</v>
      </c>
      <c r="AN14" s="59" t="n">
        <v>9.764968</v>
      </c>
      <c r="AO14" s="60" t="inlineStr">
        <is>
          <t>Apri Google Maps</t>
        </is>
      </c>
      <c r="AP14" s="8" t="inlineStr">
        <is>
          <t>Linea AT 132 kV a ~153 m; Stazione elettrica a ~0,7 km; Area residenziale a ~212 m: verificare la destinazione urbanistica</t>
        </is>
      </c>
      <c r="AQ14" s="47" t="n"/>
      <c r="AR14" s="61" t="n"/>
      <c r="AS14" s="62">
        <f>IF(AR14="","",AR14*762.02)</f>
        <v/>
      </c>
      <c r="AT14" s="7">
        <f>IF(AR14="","",IF(AR14&lt;=$C$3,"SÌ (ENTRO 8€/MQ)","NO (SOPRA SOGLIA -&gt; PROPORRE DDS)"))</f>
        <v/>
      </c>
    </row>
    <row r="15" ht="24" customHeight="1">
      <c r="A15" s="7" t="n">
        <v>10</v>
      </c>
      <c r="B15" s="32" t="inlineStr">
        <is>
          <t>PC-A21-100</t>
        </is>
      </c>
      <c r="C15" s="8" t="inlineStr">
        <is>
          <t>Riserva Periurbana (&lt;250m Z.I./Res.)</t>
        </is>
      </c>
      <c r="D15" s="8" t="inlineStr">
        <is>
          <t>⚠️ Riserva Periurbana (Verifica PRG/Prezzo)</t>
        </is>
      </c>
      <c r="E15" s="6" t="inlineStr">
        <is>
          <t>Piacenza</t>
        </is>
      </c>
      <c r="F15" s="7" t="inlineStr">
        <is>
          <t>G535</t>
        </is>
      </c>
      <c r="G15" s="7" t="n">
        <v>27</v>
      </c>
      <c r="H15" s="7" t="n">
        <v>32</v>
      </c>
      <c r="I15" s="52" t="n">
        <v>6.9</v>
      </c>
      <c r="J15" s="52" t="n">
        <v>6.53</v>
      </c>
      <c r="K15" s="53">
        <f>I15*13.1230</f>
        <v/>
      </c>
      <c r="L15" s="53">
        <f>J15*13.1230</f>
        <v/>
      </c>
      <c r="M15" s="7" t="inlineStr">
        <is>
          <t>A21</t>
        </is>
      </c>
      <c r="N15" s="54" t="n">
        <v>17</v>
      </c>
      <c r="O15" s="54" t="n">
        <v>97</v>
      </c>
      <c r="P15" s="7" t="n">
        <v>132</v>
      </c>
      <c r="Q15" s="8" t="inlineStr">
        <is>
          <t>(senza nome) (132 kV)</t>
        </is>
      </c>
      <c r="R15" s="55" t="n">
        <v>2.4</v>
      </c>
      <c r="S15" s="8" t="inlineStr">
        <is>
          <t>CP Piacenza (AC001E01168)</t>
        </is>
      </c>
      <c r="T15" s="54" t="n">
        <v>3120</v>
      </c>
      <c r="U15" s="11" t="n">
        <v>247800</v>
      </c>
      <c r="V15" s="56" t="n">
        <v>5.75</v>
      </c>
      <c r="W15" s="56" t="n">
        <v>5.44</v>
      </c>
      <c r="X15" s="54" t="n">
        <v>9158</v>
      </c>
      <c r="Y15" s="10" t="n">
        <v>5.65</v>
      </c>
      <c r="Z15" s="12" t="n">
        <v>6.15</v>
      </c>
      <c r="AA15" s="14">
        <f>Z15*762.02</f>
        <v/>
      </c>
      <c r="AB15" s="13">
        <f>I15*10000*Z15</f>
        <v/>
      </c>
      <c r="AC15" s="7" t="inlineStr">
        <is>
          <t>6.00-7.60</t>
        </is>
      </c>
      <c r="AD15" s="7" t="inlineStr">
        <is>
          <t>80-140</t>
        </is>
      </c>
      <c r="AE15" s="20" t="n">
        <v>8.5</v>
      </c>
      <c r="AF15" s="22">
        <f>AE15*762.02</f>
        <v/>
      </c>
      <c r="AG15" s="21">
        <f>I15*10000*AE15</f>
        <v/>
      </c>
      <c r="AH15" s="21">
        <f>I15*10000*$C$3</f>
        <v/>
      </c>
      <c r="AI15" s="11">
        <f>I15*700</f>
        <v/>
      </c>
      <c r="AJ15" s="57">
        <f>I15*3000</f>
        <v/>
      </c>
      <c r="AK15" s="57">
        <f>AJ15*30</f>
        <v/>
      </c>
      <c r="AL15" s="58" t="n">
        <v>76</v>
      </c>
      <c r="AM15" s="59" t="n">
        <v>45.051189</v>
      </c>
      <c r="AN15" s="59" t="n">
        <v>9.783466000000001</v>
      </c>
      <c r="AO15" s="60" t="inlineStr">
        <is>
          <t>Apri Google Maps</t>
        </is>
      </c>
      <c r="AP15" s="8" t="inlineStr">
        <is>
          <t>Linea AT 132 kV a ~97 m; Area residenziale a ~246 m: verificare la destinazione urbanistica</t>
        </is>
      </c>
      <c r="AQ15" s="47" t="n"/>
      <c r="AR15" s="61" t="n"/>
      <c r="AS15" s="62">
        <f>IF(AR15="","",AR15*762.02)</f>
        <v/>
      </c>
      <c r="AT15" s="7">
        <f>IF(AR15="","",IF(AR15&lt;=$C$3,"SÌ (ENTRO 8€/MQ)","NO (SOPRA SOGLIA -&gt; PROPORRE DDS)"))</f>
        <v/>
      </c>
    </row>
    <row r="16" ht="24" customHeight="1">
      <c r="A16" s="7" t="n">
        <v>11</v>
      </c>
      <c r="B16" s="32" t="inlineStr">
        <is>
          <t>PC-A21-101</t>
        </is>
      </c>
      <c r="C16" s="8" t="inlineStr">
        <is>
          <t>Riserva Periurbana (&lt;250m Z.I./Res.)</t>
        </is>
      </c>
      <c r="D16" s="8" t="inlineStr">
        <is>
          <t>⚠️ Riserva Periurbana (Verifica PRG/Prezzo)</t>
        </is>
      </c>
      <c r="E16" s="6" t="inlineStr">
        <is>
          <t>Castelvetro Piacentino</t>
        </is>
      </c>
      <c r="F16" s="7" t="inlineStr">
        <is>
          <t>C288</t>
        </is>
      </c>
      <c r="G16" s="7" t="n">
        <v>24</v>
      </c>
      <c r="H16" s="7" t="n">
        <v>20</v>
      </c>
      <c r="I16" s="52" t="n">
        <v>6.42</v>
      </c>
      <c r="J16" s="52" t="n">
        <v>6.41</v>
      </c>
      <c r="K16" s="53">
        <f>I16*13.1230</f>
        <v/>
      </c>
      <c r="L16" s="53">
        <f>J16*13.1230</f>
        <v/>
      </c>
      <c r="M16" s="7" t="inlineStr">
        <is>
          <t>A21</t>
        </is>
      </c>
      <c r="N16" s="54" t="n">
        <v>11</v>
      </c>
      <c r="O16" s="54" t="n">
        <v>944</v>
      </c>
      <c r="P16" s="7" t="n">
        <v>380</v>
      </c>
      <c r="Q16" s="8" t="inlineStr">
        <is>
          <t>Monticelli Ferrovia (132 kV)</t>
        </is>
      </c>
      <c r="R16" s="55" t="n">
        <v>2.8</v>
      </c>
      <c r="S16" s="8" t="inlineStr">
        <is>
          <t>CP Monticelli d'Ongina (AC001E01173)</t>
        </is>
      </c>
      <c r="T16" s="54" t="n">
        <v>3640</v>
      </c>
      <c r="U16" s="11" t="n">
        <v>281600</v>
      </c>
      <c r="V16" s="56" t="n">
        <v>5.35</v>
      </c>
      <c r="W16" s="56" t="n">
        <v>5.34</v>
      </c>
      <c r="X16" s="54" t="n">
        <v>8521</v>
      </c>
      <c r="Y16" s="10" t="n">
        <v>5.5</v>
      </c>
      <c r="Z16" s="12" t="n">
        <v>5.3</v>
      </c>
      <c r="AA16" s="14">
        <f>Z16*762.02</f>
        <v/>
      </c>
      <c r="AB16" s="13">
        <f>I16*10000*Z16</f>
        <v/>
      </c>
      <c r="AC16" s="7" t="inlineStr">
        <is>
          <t>5.10-6.30</t>
        </is>
      </c>
      <c r="AD16" s="7" t="inlineStr">
        <is>
          <t>60-85</t>
        </is>
      </c>
      <c r="AE16" s="20" t="n">
        <v>8.5</v>
      </c>
      <c r="AF16" s="22">
        <f>AE16*762.02</f>
        <v/>
      </c>
      <c r="AG16" s="21">
        <f>I16*10000*AE16</f>
        <v/>
      </c>
      <c r="AH16" s="21">
        <f>I16*10000*$C$3</f>
        <v/>
      </c>
      <c r="AI16" s="11">
        <f>I16*600</f>
        <v/>
      </c>
      <c r="AJ16" s="57">
        <f>I16*3000</f>
        <v/>
      </c>
      <c r="AK16" s="57">
        <f>AJ16*30</f>
        <v/>
      </c>
      <c r="AL16" s="58" t="n">
        <v>71</v>
      </c>
      <c r="AM16" s="59" t="n">
        <v>45.067028</v>
      </c>
      <c r="AN16" s="59" t="n">
        <v>9.953616</v>
      </c>
      <c r="AO16" s="60" t="inlineStr">
        <is>
          <t>Apri Google Maps</t>
        </is>
      </c>
      <c r="AP16" s="8" t="inlineStr">
        <is>
          <t>Area produttiva a ~119 m: verificare la destinazione urbanistica</t>
        </is>
      </c>
      <c r="AQ16" s="47" t="n"/>
      <c r="AR16" s="61" t="n"/>
      <c r="AS16" s="62">
        <f>IF(AR16="","",AR16*762.02)</f>
        <v/>
      </c>
      <c r="AT16" s="7">
        <f>IF(AR16="","",IF(AR16&lt;=$C$3,"SÌ (ENTRO 8€/MQ)","NO (SOPRA SOGLIA -&gt; PROPORRE DDS)"))</f>
        <v/>
      </c>
    </row>
    <row r="17" ht="24" customHeight="1">
      <c r="A17" s="7" t="n">
        <v>12</v>
      </c>
      <c r="B17" s="32" t="inlineStr">
        <is>
          <t>PC-A21-102</t>
        </is>
      </c>
      <c r="C17" s="8" t="inlineStr">
        <is>
          <t>Riserva Periurbana (&lt;250m Z.I./Res.)</t>
        </is>
      </c>
      <c r="D17" s="8" t="inlineStr">
        <is>
          <t>⚠️ Riserva Periurbana (Verifica PRG/Prezzo)</t>
        </is>
      </c>
      <c r="E17" s="6" t="inlineStr">
        <is>
          <t>Castel San Giovanni</t>
        </is>
      </c>
      <c r="F17" s="7" t="inlineStr">
        <is>
          <t>C261</t>
        </is>
      </c>
      <c r="G17" s="7" t="n">
        <v>13</v>
      </c>
      <c r="H17" s="7" t="n">
        <v>365</v>
      </c>
      <c r="I17" s="52" t="n">
        <v>6.23</v>
      </c>
      <c r="J17" s="52" t="n">
        <v>6.1</v>
      </c>
      <c r="K17" s="53">
        <f>I17*13.1230</f>
        <v/>
      </c>
      <c r="L17" s="53">
        <f>J17*13.1230</f>
        <v/>
      </c>
      <c r="M17" s="7" t="inlineStr">
        <is>
          <t>A21</t>
        </is>
      </c>
      <c r="N17" s="54" t="n">
        <v>30</v>
      </c>
      <c r="O17" s="54" t="n">
        <v>462</v>
      </c>
      <c r="P17" s="7" t="n">
        <v>220</v>
      </c>
      <c r="Q17" s="8" t="inlineStr">
        <is>
          <t>Sarmato FS (132 kV)</t>
        </is>
      </c>
      <c r="R17" s="55" t="n">
        <v>1.8</v>
      </c>
      <c r="S17" s="8" t="inlineStr">
        <is>
          <t>CP Arena Po (AC001E01164)</t>
        </is>
      </c>
      <c r="T17" s="54" t="n">
        <v>2340</v>
      </c>
      <c r="U17" s="11" t="n">
        <v>197100</v>
      </c>
      <c r="V17" s="56" t="n">
        <v>5.19</v>
      </c>
      <c r="W17" s="56" t="n">
        <v>5.08</v>
      </c>
      <c r="X17" s="54" t="n">
        <v>8266</v>
      </c>
      <c r="Y17" s="10" t="n">
        <v>5.6</v>
      </c>
      <c r="Z17" s="12" t="n">
        <v>5.55</v>
      </c>
      <c r="AA17" s="14">
        <f>Z17*762.02</f>
        <v/>
      </c>
      <c r="AB17" s="13">
        <f>I17*10000*Z17</f>
        <v/>
      </c>
      <c r="AC17" s="7" t="inlineStr">
        <is>
          <t>5.30-6.80</t>
        </is>
      </c>
      <c r="AD17" s="7" t="inlineStr">
        <is>
          <t>110-150</t>
        </is>
      </c>
      <c r="AE17" s="20" t="n">
        <v>8.5</v>
      </c>
      <c r="AF17" s="22">
        <f>AE17*762.02</f>
        <v/>
      </c>
      <c r="AG17" s="21">
        <f>I17*10000*AE17</f>
        <v/>
      </c>
      <c r="AH17" s="21">
        <f>I17*10000*$C$3</f>
        <v/>
      </c>
      <c r="AI17" s="11">
        <f>I17*640</f>
        <v/>
      </c>
      <c r="AJ17" s="57">
        <f>I17*3000</f>
        <v/>
      </c>
      <c r="AK17" s="57">
        <f>AJ17*30</f>
        <v/>
      </c>
      <c r="AL17" s="58" t="n">
        <v>76</v>
      </c>
      <c r="AM17" s="59" t="n">
        <v>45.075397</v>
      </c>
      <c r="AN17" s="59" t="n">
        <v>9.465379</v>
      </c>
      <c r="AO17" s="60" t="inlineStr">
        <is>
          <t>Apri Google Maps</t>
        </is>
      </c>
      <c r="AP17" s="8" t="inlineStr">
        <is>
          <t>Area produttiva a ~158 m: verificare la destinazione urbanistica</t>
        </is>
      </c>
      <c r="AQ17" s="47" t="n"/>
      <c r="AR17" s="61" t="n"/>
      <c r="AS17" s="62">
        <f>IF(AR17="","",AR17*762.02)</f>
        <v/>
      </c>
      <c r="AT17" s="7">
        <f>IF(AR17="","",IF(AR17&lt;=$C$3,"SÌ (ENTRO 8€/MQ)","NO (SOPRA SOGLIA -&gt; PROPORRE DDS)"))</f>
        <v/>
      </c>
    </row>
    <row r="18" ht="24" customHeight="1">
      <c r="A18" s="7" t="n">
        <v>13</v>
      </c>
      <c r="B18" s="32" t="inlineStr">
        <is>
          <t>PC-A21-103</t>
        </is>
      </c>
      <c r="C18" s="8" t="inlineStr">
        <is>
          <t>Riserva Periurbana (&lt;250m Z.I./Res.)</t>
        </is>
      </c>
      <c r="D18" s="8" t="inlineStr">
        <is>
          <t>⚠️ Riserva Periurbana (Verifica PRG/Prezzo)</t>
        </is>
      </c>
      <c r="E18" s="6" t="inlineStr">
        <is>
          <t>Caorso</t>
        </is>
      </c>
      <c r="F18" s="7" t="inlineStr">
        <is>
          <t>B643</t>
        </is>
      </c>
      <c r="G18" s="7" t="n">
        <v>23</v>
      </c>
      <c r="H18" s="7" t="n">
        <v>99</v>
      </c>
      <c r="I18" s="52" t="n">
        <v>5.87</v>
      </c>
      <c r="J18" s="52" t="n">
        <v>5.87</v>
      </c>
      <c r="K18" s="53">
        <f>I18*13.1230</f>
        <v/>
      </c>
      <c r="L18" s="53">
        <f>J18*13.1230</f>
        <v/>
      </c>
      <c r="M18" s="7" t="inlineStr">
        <is>
          <t>A21</t>
        </is>
      </c>
      <c r="N18" s="54" t="n">
        <v>15</v>
      </c>
      <c r="O18" s="54" t="n">
        <v>264</v>
      </c>
      <c r="P18" s="7" t="n">
        <v>380</v>
      </c>
      <c r="Q18" s="8" t="inlineStr">
        <is>
          <t>Monticelli FS (132 kV)</t>
        </is>
      </c>
      <c r="R18" s="55" t="n">
        <v>1.7</v>
      </c>
      <c r="S18" s="8" t="inlineStr">
        <is>
          <t>CP Monticelli d'Ongina (AC001E01173)</t>
        </is>
      </c>
      <c r="T18" s="54" t="n">
        <v>2210</v>
      </c>
      <c r="U18" s="11" t="n">
        <v>188650</v>
      </c>
      <c r="V18" s="56" t="n">
        <v>4.89</v>
      </c>
      <c r="W18" s="56" t="n">
        <v>4.89</v>
      </c>
      <c r="X18" s="54" t="n">
        <v>7788</v>
      </c>
      <c r="Y18" s="10" t="n">
        <v>5.55</v>
      </c>
      <c r="Z18" s="12" t="n">
        <v>5.45</v>
      </c>
      <c r="AA18" s="14">
        <f>Z18*762.02</f>
        <v/>
      </c>
      <c r="AB18" s="13">
        <f>I18*10000*Z18</f>
        <v/>
      </c>
      <c r="AC18" s="7" t="inlineStr">
        <is>
          <t>5.20-6.50</t>
        </is>
      </c>
      <c r="AD18" s="7" t="inlineStr">
        <is>
          <t>85-100</t>
        </is>
      </c>
      <c r="AE18" s="20" t="n">
        <v>8.5</v>
      </c>
      <c r="AF18" s="22">
        <f>AE18*762.02</f>
        <v/>
      </c>
      <c r="AG18" s="21">
        <f>I18*10000*AE18</f>
        <v/>
      </c>
      <c r="AH18" s="21">
        <f>I18*10000*$C$3</f>
        <v/>
      </c>
      <c r="AI18" s="11">
        <f>I18*620</f>
        <v/>
      </c>
      <c r="AJ18" s="57">
        <f>I18*3000</f>
        <v/>
      </c>
      <c r="AK18" s="57">
        <f>AJ18*30</f>
        <v/>
      </c>
      <c r="AL18" s="58" t="n">
        <v>76</v>
      </c>
      <c r="AM18" s="59" t="n">
        <v>45.059079</v>
      </c>
      <c r="AN18" s="59" t="n">
        <v>9.895398</v>
      </c>
      <c r="AO18" s="60" t="inlineStr">
        <is>
          <t>Apri Google Maps</t>
        </is>
      </c>
      <c r="AP18" s="8" t="inlineStr">
        <is>
          <t>Linea AT 380 kV a ~264 m; Area commerciale a ~179 m: verificare la destinazione urbanistica</t>
        </is>
      </c>
      <c r="AQ18" s="47" t="n"/>
      <c r="AR18" s="61" t="n"/>
      <c r="AS18" s="62">
        <f>IF(AR18="","",AR18*762.02)</f>
        <v/>
      </c>
      <c r="AT18" s="7">
        <f>IF(AR18="","",IF(AR18&lt;=$C$3,"SÌ (ENTRO 8€/MQ)","NO (SOPRA SOGLIA -&gt; PROPORRE DDS)"))</f>
        <v/>
      </c>
    </row>
    <row r="19" ht="24" customHeight="1">
      <c r="A19" s="7" t="n">
        <v>14</v>
      </c>
      <c r="B19" s="32" t="inlineStr">
        <is>
          <t>PC-A21-104</t>
        </is>
      </c>
      <c r="C19" s="8" t="inlineStr">
        <is>
          <t>Riserva Periurbana (&lt;250m Z.I./Res.)</t>
        </is>
      </c>
      <c r="D19" s="8" t="inlineStr">
        <is>
          <t>⚠️ Riserva Periurbana (Verifica PRG/Prezzo)</t>
        </is>
      </c>
      <c r="E19" s="6" t="inlineStr">
        <is>
          <t>Piacenza</t>
        </is>
      </c>
      <c r="F19" s="7" t="inlineStr">
        <is>
          <t>G535</t>
        </is>
      </c>
      <c r="G19" s="7" t="n">
        <v>38</v>
      </c>
      <c r="H19" s="7" t="n">
        <v>1400</v>
      </c>
      <c r="I19" s="52" t="n">
        <v>5.76</v>
      </c>
      <c r="J19" s="52" t="n">
        <v>5.77</v>
      </c>
      <c r="K19" s="53">
        <f>I19*13.1230</f>
        <v/>
      </c>
      <c r="L19" s="53">
        <f>J19*13.1230</f>
        <v/>
      </c>
      <c r="M19" s="7" t="inlineStr">
        <is>
          <t>A21</t>
        </is>
      </c>
      <c r="N19" s="54" t="n">
        <v>29</v>
      </c>
      <c r="O19" s="54" t="n">
        <v>428</v>
      </c>
      <c r="P19" s="7" t="n">
        <v>132</v>
      </c>
      <c r="Q19" s="8" t="inlineStr">
        <is>
          <t>(senza nome) (132 kV)</t>
        </is>
      </c>
      <c r="R19" s="55" t="n">
        <v>0.6</v>
      </c>
      <c r="S19" s="8" t="inlineStr">
        <is>
          <t>CP Piacenza (AC001E01167)</t>
        </is>
      </c>
      <c r="T19" s="54" t="n">
        <v>780</v>
      </c>
      <c r="U19" s="11" t="n">
        <v>95700</v>
      </c>
      <c r="V19" s="56" t="n">
        <v>4.8</v>
      </c>
      <c r="W19" s="56" t="n">
        <v>4.81</v>
      </c>
      <c r="X19" s="54" t="n">
        <v>7645</v>
      </c>
      <c r="Y19" s="10" t="n">
        <v>5.65</v>
      </c>
      <c r="Z19" s="12" t="n">
        <v>6.15</v>
      </c>
      <c r="AA19" s="14">
        <f>Z19*762.02</f>
        <v/>
      </c>
      <c r="AB19" s="13">
        <f>I19*10000*Z19</f>
        <v/>
      </c>
      <c r="AC19" s="7" t="inlineStr">
        <is>
          <t>6.00-7.60</t>
        </is>
      </c>
      <c r="AD19" s="7" t="inlineStr">
        <is>
          <t>80-140</t>
        </is>
      </c>
      <c r="AE19" s="20" t="n">
        <v>8.5</v>
      </c>
      <c r="AF19" s="22">
        <f>AE19*762.02</f>
        <v/>
      </c>
      <c r="AG19" s="21">
        <f>I19*10000*AE19</f>
        <v/>
      </c>
      <c r="AH19" s="21">
        <f>I19*10000*$C$3</f>
        <v/>
      </c>
      <c r="AI19" s="11">
        <f>I19*700</f>
        <v/>
      </c>
      <c r="AJ19" s="57">
        <f>I19*3000</f>
        <v/>
      </c>
      <c r="AK19" s="57">
        <f>AJ19*30</f>
        <v/>
      </c>
      <c r="AL19" s="58" t="n">
        <v>84</v>
      </c>
      <c r="AM19" s="59" t="n">
        <v>45.059881</v>
      </c>
      <c r="AN19" s="59" t="n">
        <v>9.654045999999999</v>
      </c>
      <c r="AO19" s="60" t="inlineStr">
        <is>
          <t>Apri Google Maps</t>
        </is>
      </c>
      <c r="AP19" s="8" t="inlineStr">
        <is>
          <t>Stazione elettrica a ~0,6 km; Area produttiva a ~181 m: verificare la destinazione urbanistica</t>
        </is>
      </c>
      <c r="AQ19" s="47" t="n"/>
      <c r="AR19" s="61" t="n"/>
      <c r="AS19" s="62">
        <f>IF(AR19="","",AR19*762.02)</f>
        <v/>
      </c>
      <c r="AT19" s="7">
        <f>IF(AR19="","",IF(AR19&lt;=$C$3,"SÌ (ENTRO 8€/MQ)","NO (SOPRA SOGLIA -&gt; PROPORRE DDS)"))</f>
        <v/>
      </c>
    </row>
    <row r="20" ht="24" customHeight="1">
      <c r="A20" s="7" t="n">
        <v>15</v>
      </c>
      <c r="B20" s="32" t="inlineStr">
        <is>
          <t>PC-A21-105</t>
        </is>
      </c>
      <c r="C20" s="8" t="inlineStr">
        <is>
          <t>Riserva Periurbana (&lt;250m Z.I./Res.)</t>
        </is>
      </c>
      <c r="D20" s="8" t="inlineStr">
        <is>
          <t>⚠️ Riserva Periurbana (Verifica PRG/Prezzo)</t>
        </is>
      </c>
      <c r="E20" s="6" t="inlineStr">
        <is>
          <t>Rottofreno</t>
        </is>
      </c>
      <c r="F20" s="7" t="inlineStr">
        <is>
          <t>H593</t>
        </is>
      </c>
      <c r="G20" s="7" t="n">
        <v>17</v>
      </c>
      <c r="H20" s="7" t="n">
        <v>12</v>
      </c>
      <c r="I20" s="52" t="n">
        <v>9.140000000000001</v>
      </c>
      <c r="J20" s="52" t="n">
        <v>5.59</v>
      </c>
      <c r="K20" s="53">
        <f>I20*13.1230</f>
        <v/>
      </c>
      <c r="L20" s="53">
        <f>J20*13.1230</f>
        <v/>
      </c>
      <c r="M20" s="7" t="inlineStr">
        <is>
          <t>A21</t>
        </is>
      </c>
      <c r="N20" s="54" t="n">
        <v>97</v>
      </c>
      <c r="O20" s="54" t="n">
        <v>71</v>
      </c>
      <c r="P20" s="7" t="n">
        <v>132</v>
      </c>
      <c r="Q20" s="8" t="inlineStr">
        <is>
          <t>Rottofreno (132 kV)</t>
        </is>
      </c>
      <c r="R20" s="55" t="n">
        <v>1.8</v>
      </c>
      <c r="S20" s="8" t="inlineStr">
        <is>
          <t>CP Rottofreno (AC001E01165)</t>
        </is>
      </c>
      <c r="T20" s="54" t="n">
        <v>2340</v>
      </c>
      <c r="U20" s="11" t="n">
        <v>197100</v>
      </c>
      <c r="V20" s="56" t="n">
        <v>7.62</v>
      </c>
      <c r="W20" s="56" t="n">
        <v>4.66</v>
      </c>
      <c r="X20" s="54" t="n">
        <v>12136</v>
      </c>
      <c r="Y20" s="10" t="n">
        <v>5.65</v>
      </c>
      <c r="Z20" s="12" t="n">
        <v>5.65</v>
      </c>
      <c r="AA20" s="14">
        <f>Z20*762.02</f>
        <v/>
      </c>
      <c r="AB20" s="13">
        <f>I20*10000*Z20</f>
        <v/>
      </c>
      <c r="AC20" s="7" t="inlineStr">
        <is>
          <t>5.40-6.80</t>
        </is>
      </c>
      <c r="AD20" s="7" t="inlineStr">
        <is>
          <t>75-105</t>
        </is>
      </c>
      <c r="AE20" s="20" t="n">
        <v>8.5</v>
      </c>
      <c r="AF20" s="22">
        <f>AE20*762.02</f>
        <v/>
      </c>
      <c r="AG20" s="21">
        <f>I20*10000*AE20</f>
        <v/>
      </c>
      <c r="AH20" s="21">
        <f>I20*10000*$C$3</f>
        <v/>
      </c>
      <c r="AI20" s="11">
        <f>I20*650</f>
        <v/>
      </c>
      <c r="AJ20" s="57">
        <f>I20*3000</f>
        <v/>
      </c>
      <c r="AK20" s="57">
        <f>AJ20*30</f>
        <v/>
      </c>
      <c r="AL20" s="58" t="n">
        <v>76</v>
      </c>
      <c r="AM20" s="59" t="n">
        <v>45.061374</v>
      </c>
      <c r="AN20" s="59" t="n">
        <v>9.598748000000001</v>
      </c>
      <c r="AO20" s="60" t="inlineStr">
        <is>
          <t>Apri Google Maps</t>
        </is>
      </c>
      <c r="AP20" s="8" t="inlineStr">
        <is>
          <t>Linea AT 132 kV a ~71 m; Area residenziale a ~169 m: verificare la destinazione urbanistica; 3,6 ha oltre i 300 m</t>
        </is>
      </c>
      <c r="AQ20" s="47" t="n"/>
      <c r="AR20" s="61" t="n"/>
      <c r="AS20" s="62">
        <f>IF(AR20="","",AR20*762.02)</f>
        <v/>
      </c>
      <c r="AT20" s="7">
        <f>IF(AR20="","",IF(AR20&lt;=$C$3,"SÌ (ENTRO 8€/MQ)","NO (SOPRA SOGLIA -&gt; PROPORRE DDS)"))</f>
        <v/>
      </c>
    </row>
    <row r="21" ht="24" customHeight="1">
      <c r="A21" s="7" t="n">
        <v>16</v>
      </c>
      <c r="B21" s="32" t="inlineStr">
        <is>
          <t>PC-A21-106</t>
        </is>
      </c>
      <c r="C21" s="8" t="inlineStr">
        <is>
          <t>Riserva Periurbana (&lt;250m Z.I./Res.)</t>
        </is>
      </c>
      <c r="D21" s="8" t="inlineStr">
        <is>
          <t>⚠️ Riserva Periurbana (Verifica PRG/Prezzo)</t>
        </is>
      </c>
      <c r="E21" s="6" t="inlineStr">
        <is>
          <t>Piacenza</t>
        </is>
      </c>
      <c r="F21" s="7" t="inlineStr">
        <is>
          <t>G535</t>
        </is>
      </c>
      <c r="G21" s="7" t="n">
        <v>27</v>
      </c>
      <c r="H21" s="7" t="n">
        <v>21</v>
      </c>
      <c r="I21" s="52" t="n">
        <v>5.43</v>
      </c>
      <c r="J21" s="52" t="n">
        <v>5.43</v>
      </c>
      <c r="K21" s="53">
        <f>I21*13.1230</f>
        <v/>
      </c>
      <c r="L21" s="53">
        <f>J21*13.1230</f>
        <v/>
      </c>
      <c r="M21" s="7" t="inlineStr">
        <is>
          <t>A21</t>
        </is>
      </c>
      <c r="N21" s="54" t="n">
        <v>15</v>
      </c>
      <c r="O21" s="54" t="n">
        <v>384</v>
      </c>
      <c r="P21" s="7" t="n">
        <v>132</v>
      </c>
      <c r="Q21" s="8" t="inlineStr">
        <is>
          <t>(senza nome) (132 kV)</t>
        </is>
      </c>
      <c r="R21" s="55" t="n">
        <v>2</v>
      </c>
      <c r="S21" s="8" t="inlineStr">
        <is>
          <t>CP Piacenza (AC001E01168)</t>
        </is>
      </c>
      <c r="T21" s="54" t="n">
        <v>2600</v>
      </c>
      <c r="U21" s="11" t="n">
        <v>214000</v>
      </c>
      <c r="V21" s="56" t="n">
        <v>4.53</v>
      </c>
      <c r="W21" s="56" t="n">
        <v>4.53</v>
      </c>
      <c r="X21" s="54" t="n">
        <v>7215</v>
      </c>
      <c r="Y21" s="10" t="n">
        <v>5.65</v>
      </c>
      <c r="Z21" s="12" t="n">
        <v>6.15</v>
      </c>
      <c r="AA21" s="14">
        <f>Z21*762.02</f>
        <v/>
      </c>
      <c r="AB21" s="13">
        <f>I21*10000*Z21</f>
        <v/>
      </c>
      <c r="AC21" s="7" t="inlineStr">
        <is>
          <t>6.00-7.60</t>
        </is>
      </c>
      <c r="AD21" s="7" t="inlineStr">
        <is>
          <t>80-140</t>
        </is>
      </c>
      <c r="AE21" s="20" t="n">
        <v>8.5</v>
      </c>
      <c r="AF21" s="22">
        <f>AE21*762.02</f>
        <v/>
      </c>
      <c r="AG21" s="21">
        <f>I21*10000*AE21</f>
        <v/>
      </c>
      <c r="AH21" s="21">
        <f>I21*10000*$C$3</f>
        <v/>
      </c>
      <c r="AI21" s="11">
        <f>I21*700</f>
        <v/>
      </c>
      <c r="AJ21" s="57">
        <f>I21*3000</f>
        <v/>
      </c>
      <c r="AK21" s="57">
        <f>AJ21*30</f>
        <v/>
      </c>
      <c r="AL21" s="58" t="n">
        <v>76</v>
      </c>
      <c r="AM21" s="59" t="n">
        <v>45.048813</v>
      </c>
      <c r="AN21" s="59" t="n">
        <v>9.773546</v>
      </c>
      <c r="AO21" s="60" t="inlineStr">
        <is>
          <t>Apri Google Maps</t>
        </is>
      </c>
      <c r="AP21" s="8" t="inlineStr">
        <is>
          <t>Seminativo aperto in fascia autostradale ≤300m D.Lgs. 199/2021</t>
        </is>
      </c>
      <c r="AQ21" s="47" t="n"/>
      <c r="AR21" s="61" t="n"/>
      <c r="AS21" s="62">
        <f>IF(AR21="","",AR21*762.02)</f>
        <v/>
      </c>
      <c r="AT21" s="7">
        <f>IF(AR21="","",IF(AR21&lt;=$C$3,"SÌ (ENTRO 8€/MQ)","NO (SOPRA SOGLIA -&gt; PROPORRE DDS)"))</f>
        <v/>
      </c>
    </row>
    <row r="22" ht="24" customHeight="1">
      <c r="A22" s="7" t="n">
        <v>17</v>
      </c>
      <c r="B22" s="32" t="inlineStr">
        <is>
          <t>PC-A21-107</t>
        </is>
      </c>
      <c r="C22" s="8" t="inlineStr">
        <is>
          <t>Riserva Periurbana (&lt;250m Z.I./Res.)</t>
        </is>
      </c>
      <c r="D22" s="8" t="inlineStr">
        <is>
          <t>⚠️ Riserva Periurbana (Verifica PRG/Prezzo)</t>
        </is>
      </c>
      <c r="E22" s="6" t="inlineStr">
        <is>
          <t>Piacenza</t>
        </is>
      </c>
      <c r="F22" s="7" t="inlineStr">
        <is>
          <t>G535</t>
        </is>
      </c>
      <c r="G22" s="7" t="n">
        <v>27</v>
      </c>
      <c r="H22" s="7" t="n">
        <v>27</v>
      </c>
      <c r="I22" s="52" t="n">
        <v>6.76</v>
      </c>
      <c r="J22" s="52" t="n">
        <v>5.09</v>
      </c>
      <c r="K22" s="53">
        <f>I22*13.1230</f>
        <v/>
      </c>
      <c r="L22" s="53">
        <f>J22*13.1230</f>
        <v/>
      </c>
      <c r="M22" s="7" t="inlineStr">
        <is>
          <t>A21</t>
        </is>
      </c>
      <c r="N22" s="54" t="n">
        <v>16</v>
      </c>
      <c r="O22" s="54" t="n">
        <v>33</v>
      </c>
      <c r="P22" s="7" t="n">
        <v>132</v>
      </c>
      <c r="Q22" s="8" t="inlineStr">
        <is>
          <t>(senza nome) (132 kV)</t>
        </is>
      </c>
      <c r="R22" s="55" t="n">
        <v>2.4</v>
      </c>
      <c r="S22" s="8" t="inlineStr">
        <is>
          <t>CP Piacenza (AC001E01168)</t>
        </is>
      </c>
      <c r="T22" s="54" t="n">
        <v>3120</v>
      </c>
      <c r="U22" s="11" t="n">
        <v>247800</v>
      </c>
      <c r="V22" s="56" t="n">
        <v>5.63</v>
      </c>
      <c r="W22" s="56" t="n">
        <v>4.24</v>
      </c>
      <c r="X22" s="54" t="n">
        <v>8967</v>
      </c>
      <c r="Y22" s="10" t="n">
        <v>5.65</v>
      </c>
      <c r="Z22" s="12" t="n">
        <v>6.15</v>
      </c>
      <c r="AA22" s="14">
        <f>Z22*762.02</f>
        <v/>
      </c>
      <c r="AB22" s="13">
        <f>I22*10000*Z22</f>
        <v/>
      </c>
      <c r="AC22" s="7" t="inlineStr">
        <is>
          <t>6.00-7.60</t>
        </is>
      </c>
      <c r="AD22" s="7" t="inlineStr">
        <is>
          <t>80-140</t>
        </is>
      </c>
      <c r="AE22" s="20" t="n">
        <v>8.5</v>
      </c>
      <c r="AF22" s="22">
        <f>AE22*762.02</f>
        <v/>
      </c>
      <c r="AG22" s="21">
        <f>I22*10000*AE22</f>
        <v/>
      </c>
      <c r="AH22" s="21">
        <f>I22*10000*$C$3</f>
        <v/>
      </c>
      <c r="AI22" s="11">
        <f>I22*700</f>
        <v/>
      </c>
      <c r="AJ22" s="57">
        <f>I22*3000</f>
        <v/>
      </c>
      <c r="AK22" s="57">
        <f>AJ22*30</f>
        <v/>
      </c>
      <c r="AL22" s="58" t="n">
        <v>76</v>
      </c>
      <c r="AM22" s="59" t="n">
        <v>45.051831</v>
      </c>
      <c r="AN22" s="59" t="n">
        <v>9.780048000000001</v>
      </c>
      <c r="AO22" s="60" t="inlineStr">
        <is>
          <t>Apri Google Maps</t>
        </is>
      </c>
      <c r="AP22" s="8" t="inlineStr">
        <is>
          <t>Linea AT 132 kV sul fondo o al confine: condiziona il layout, ma la rete è vicina; 1,7 ha oltre i 300 m</t>
        </is>
      </c>
      <c r="AQ22" s="47" t="n"/>
      <c r="AR22" s="61" t="n"/>
      <c r="AS22" s="62">
        <f>IF(AR22="","",AR22*762.02)</f>
        <v/>
      </c>
      <c r="AT22" s="7">
        <f>IF(AR22="","",IF(AR22&lt;=$C$3,"SÌ (ENTRO 8€/MQ)","NO (SOPRA SOGLIA -&gt; PROPORRE DDS)"))</f>
        <v/>
      </c>
    </row>
    <row r="23" ht="24" customHeight="1">
      <c r="A23" s="7" t="n">
        <v>18</v>
      </c>
      <c r="B23" s="32" t="inlineStr">
        <is>
          <t>PC-A21-108</t>
        </is>
      </c>
      <c r="C23" s="8" t="inlineStr">
        <is>
          <t>Riserva Periurbana (&lt;250m Z.I./Res.)</t>
        </is>
      </c>
      <c r="D23" s="8" t="inlineStr">
        <is>
          <t>⚠️ Riserva Periurbana (Verifica PRG/Prezzo)</t>
        </is>
      </c>
      <c r="E23" s="6" t="inlineStr">
        <is>
          <t>Monticelli d'Ongina</t>
        </is>
      </c>
      <c r="F23" s="7" t="inlineStr">
        <is>
          <t>F671</t>
        </is>
      </c>
      <c r="G23" s="7" t="n">
        <v>32</v>
      </c>
      <c r="H23" s="7" t="n">
        <v>5</v>
      </c>
      <c r="I23" s="52" t="n">
        <v>4.94</v>
      </c>
      <c r="J23" s="52" t="n">
        <v>4.94</v>
      </c>
      <c r="K23" s="53">
        <f>I23*13.1230</f>
        <v/>
      </c>
      <c r="L23" s="53">
        <f>J23*13.1230</f>
        <v/>
      </c>
      <c r="M23" s="7" t="inlineStr">
        <is>
          <t>A21</t>
        </is>
      </c>
      <c r="N23" s="54" t="n">
        <v>31</v>
      </c>
      <c r="O23" s="54" t="n">
        <v>526</v>
      </c>
      <c r="P23" s="7" t="n">
        <v>380</v>
      </c>
      <c r="Q23" s="8" t="inlineStr">
        <is>
          <t>Monticelli Ferrovia (132 kV)</t>
        </is>
      </c>
      <c r="R23" s="55" t="n">
        <v>1.9</v>
      </c>
      <c r="S23" s="8" t="inlineStr">
        <is>
          <t>CP Monticelli d'Ongina (AC001E01173)</t>
        </is>
      </c>
      <c r="T23" s="54" t="n">
        <v>2470</v>
      </c>
      <c r="U23" s="11" t="n">
        <v>205550</v>
      </c>
      <c r="V23" s="56" t="n">
        <v>4.12</v>
      </c>
      <c r="W23" s="56" t="n">
        <v>4.12</v>
      </c>
      <c r="X23" s="54" t="n">
        <v>6562</v>
      </c>
      <c r="Y23" s="10" t="n">
        <v>5.5</v>
      </c>
      <c r="Z23" s="12" t="n">
        <v>5.35</v>
      </c>
      <c r="AA23" s="14">
        <f>Z23*762.02</f>
        <v/>
      </c>
      <c r="AB23" s="13">
        <f>I23*10000*Z23</f>
        <v/>
      </c>
      <c r="AC23" s="7" t="inlineStr">
        <is>
          <t>5.15-6.35</t>
        </is>
      </c>
      <c r="AD23" s="7" t="inlineStr">
        <is>
          <t>55-80</t>
        </is>
      </c>
      <c r="AE23" s="20" t="n">
        <v>8.5</v>
      </c>
      <c r="AF23" s="22">
        <f>AE23*762.02</f>
        <v/>
      </c>
      <c r="AG23" s="21">
        <f>I23*10000*AE23</f>
        <v/>
      </c>
      <c r="AH23" s="21">
        <f>I23*10000*$C$3</f>
        <v/>
      </c>
      <c r="AI23" s="11">
        <f>I23*610</f>
        <v/>
      </c>
      <c r="AJ23" s="57">
        <f>I23*3000</f>
        <v/>
      </c>
      <c r="AK23" s="57">
        <f>AJ23*30</f>
        <v/>
      </c>
      <c r="AL23" s="58" t="n">
        <v>75</v>
      </c>
      <c r="AM23" s="59" t="n">
        <v>45.063027</v>
      </c>
      <c r="AN23" s="59" t="n">
        <v>9.943453999999999</v>
      </c>
      <c r="AO23" s="60" t="inlineStr">
        <is>
          <t>Apri Google Maps</t>
        </is>
      </c>
      <c r="AP23" s="8" t="inlineStr">
        <is>
          <t>Area cantiere a ~127 m: verificare la destinazione urbanistica</t>
        </is>
      </c>
      <c r="AQ23" s="47" t="n"/>
      <c r="AR23" s="61" t="n"/>
      <c r="AS23" s="62">
        <f>IF(AR23="","",AR23*762.02)</f>
        <v/>
      </c>
      <c r="AT23" s="7">
        <f>IF(AR23="","",IF(AR23&lt;=$C$3,"SÌ (ENTRO 8€/MQ)","NO (SOPRA SOGLIA -&gt; PROPORRE DDS)"))</f>
        <v/>
      </c>
    </row>
    <row r="24" ht="24" customHeight="1">
      <c r="A24" s="7" t="n">
        <v>19</v>
      </c>
      <c r="B24" s="32" t="inlineStr">
        <is>
          <t>PC-A1-109</t>
        </is>
      </c>
      <c r="C24" s="8" t="inlineStr">
        <is>
          <t>Riserva Periurbana (&lt;250m Z.I./Res.)</t>
        </is>
      </c>
      <c r="D24" s="8" t="inlineStr">
        <is>
          <t>⚠️ Riserva Periurbana (Verifica PRG/Prezzo)</t>
        </is>
      </c>
      <c r="E24" s="6" t="inlineStr">
        <is>
          <t>Fiorenzuola d'Arda</t>
        </is>
      </c>
      <c r="F24" s="7" t="inlineStr">
        <is>
          <t>D611</t>
        </is>
      </c>
      <c r="G24" s="7" t="n">
        <v>3</v>
      </c>
      <c r="H24" s="7" t="n">
        <v>46</v>
      </c>
      <c r="I24" s="52" t="n">
        <v>4.92</v>
      </c>
      <c r="J24" s="52" t="n">
        <v>4.92</v>
      </c>
      <c r="K24" s="53">
        <f>I24*13.1230</f>
        <v/>
      </c>
      <c r="L24" s="53">
        <f>J24*13.1230</f>
        <v/>
      </c>
      <c r="M24" s="7" t="inlineStr">
        <is>
          <t>A1</t>
        </is>
      </c>
      <c r="N24" s="54" t="n">
        <v>15</v>
      </c>
      <c r="O24" s="54" t="n">
        <v>312</v>
      </c>
      <c r="P24" s="7" t="n">
        <v>132</v>
      </c>
      <c r="Q24" s="8" t="inlineStr">
        <is>
          <t>Fiorenzuola AV (132 kV)</t>
        </is>
      </c>
      <c r="R24" s="55" t="n">
        <v>0.7</v>
      </c>
      <c r="S24" s="8" t="inlineStr">
        <is>
          <t>CP Fiorenzuola d'Arda (AC001E01230)</t>
        </is>
      </c>
      <c r="T24" s="54" t="n">
        <v>910</v>
      </c>
      <c r="U24" s="11" t="n">
        <v>104150</v>
      </c>
      <c r="V24" s="56" t="n">
        <v>4.1</v>
      </c>
      <c r="W24" s="56" t="n">
        <v>4.1</v>
      </c>
      <c r="X24" s="54" t="n">
        <v>6530</v>
      </c>
      <c r="Y24" s="10" t="n">
        <v>5.45</v>
      </c>
      <c r="Z24" s="12" t="n">
        <v>5.6</v>
      </c>
      <c r="AA24" s="14">
        <f>Z24*762.02</f>
        <v/>
      </c>
      <c r="AB24" s="13">
        <f>I24*10000*Z24</f>
        <v/>
      </c>
      <c r="AC24" s="7" t="inlineStr">
        <is>
          <t>5.50-6.80</t>
        </is>
      </c>
      <c r="AD24" s="7" t="inlineStr">
        <is>
          <t>80-116</t>
        </is>
      </c>
      <c r="AE24" s="20" t="n">
        <v>8.5</v>
      </c>
      <c r="AF24" s="22">
        <f>AE24*762.02</f>
        <v/>
      </c>
      <c r="AG24" s="21">
        <f>I24*10000*AE24</f>
        <v/>
      </c>
      <c r="AH24" s="21">
        <f>I24*10000*$C$3</f>
        <v/>
      </c>
      <c r="AI24" s="11">
        <f>I24*630</f>
        <v/>
      </c>
      <c r="AJ24" s="57">
        <f>I24*3000</f>
        <v/>
      </c>
      <c r="AK24" s="57">
        <f>AJ24*30</f>
        <v/>
      </c>
      <c r="AL24" s="58" t="n">
        <v>83</v>
      </c>
      <c r="AM24" s="59" t="n">
        <v>44.965322</v>
      </c>
      <c r="AN24" s="59" t="n">
        <v>9.896571</v>
      </c>
      <c r="AO24" s="60" t="inlineStr">
        <is>
          <t>Apri Google Maps</t>
        </is>
      </c>
      <c r="AP24" s="8" t="inlineStr">
        <is>
          <t>Stazione elettrica Fiorenzuola AV a ~0,7 km; Area produttiva a ~153 m: verificare la destinazione urbanistica</t>
        </is>
      </c>
      <c r="AQ24" s="47" t="n"/>
      <c r="AR24" s="61" t="n"/>
      <c r="AS24" s="62">
        <f>IF(AR24="","",AR24*762.02)</f>
        <v/>
      </c>
      <c r="AT24" s="7">
        <f>IF(AR24="","",IF(AR24&lt;=$C$3,"SÌ (ENTRO 8€/MQ)","NO (SOPRA SOGLIA -&gt; PROPORRE DDS)"))</f>
        <v/>
      </c>
    </row>
    <row r="25" ht="24" customHeight="1">
      <c r="A25" s="7" t="n">
        <v>20</v>
      </c>
      <c r="B25" s="32" t="inlineStr">
        <is>
          <t>PC-A21-110</t>
        </is>
      </c>
      <c r="C25" s="8" t="inlineStr">
        <is>
          <t>Riserva Periurbana (&lt;250m Z.I./Res.)</t>
        </is>
      </c>
      <c r="D25" s="8" t="inlineStr">
        <is>
          <t>⚠️ Riserva Periurbana (Verifica PRG/Prezzo)</t>
        </is>
      </c>
      <c r="E25" s="6" t="inlineStr">
        <is>
          <t>Piacenza</t>
        </is>
      </c>
      <c r="F25" s="7" t="inlineStr">
        <is>
          <t>G535</t>
        </is>
      </c>
      <c r="G25" s="7" t="n">
        <v>17</v>
      </c>
      <c r="H25" s="7" t="n">
        <v>39</v>
      </c>
      <c r="I25" s="52" t="n">
        <v>10.03</v>
      </c>
      <c r="J25" s="52" t="n">
        <v>4.91</v>
      </c>
      <c r="K25" s="53">
        <f>I25*13.1230</f>
        <v/>
      </c>
      <c r="L25" s="53">
        <f>J25*13.1230</f>
        <v/>
      </c>
      <c r="M25" s="7" t="inlineStr">
        <is>
          <t>A21</t>
        </is>
      </c>
      <c r="N25" s="54" t="n">
        <v>189</v>
      </c>
      <c r="O25" s="54" t="n">
        <v>182</v>
      </c>
      <c r="P25" s="7" t="n">
        <v>132</v>
      </c>
      <c r="Q25" s="8" t="inlineStr">
        <is>
          <t>Tecnoborgo sezionamento (132 kV)</t>
        </is>
      </c>
      <c r="R25" s="55" t="n">
        <v>2.2</v>
      </c>
      <c r="S25" s="8" t="inlineStr">
        <is>
          <t>CP Piacenza (AC001E01168)</t>
        </is>
      </c>
      <c r="T25" s="54" t="n">
        <v>2860</v>
      </c>
      <c r="U25" s="11" t="n">
        <v>230900</v>
      </c>
      <c r="V25" s="56" t="n">
        <v>8.359999999999999</v>
      </c>
      <c r="W25" s="56" t="n">
        <v>4.09</v>
      </c>
      <c r="X25" s="54" t="n">
        <v>13315</v>
      </c>
      <c r="Y25" s="10" t="n">
        <v>5.65</v>
      </c>
      <c r="Z25" s="12" t="n">
        <v>6.15</v>
      </c>
      <c r="AA25" s="14">
        <f>Z25*762.02</f>
        <v/>
      </c>
      <c r="AB25" s="13">
        <f>I25*10000*Z25</f>
        <v/>
      </c>
      <c r="AC25" s="7" t="inlineStr">
        <is>
          <t>6.00-7.60</t>
        </is>
      </c>
      <c r="AD25" s="7" t="inlineStr">
        <is>
          <t>80-140</t>
        </is>
      </c>
      <c r="AE25" s="20" t="n">
        <v>8.5</v>
      </c>
      <c r="AF25" s="22">
        <f>AE25*762.02</f>
        <v/>
      </c>
      <c r="AG25" s="21">
        <f>I25*10000*AE25</f>
        <v/>
      </c>
      <c r="AH25" s="21">
        <f>I25*10000*$C$3</f>
        <v/>
      </c>
      <c r="AI25" s="11">
        <f>I25*700</f>
        <v/>
      </c>
      <c r="AJ25" s="57">
        <f>I25*3000</f>
        <v/>
      </c>
      <c r="AK25" s="57">
        <f>AJ25*30</f>
        <v/>
      </c>
      <c r="AL25" s="58" t="n">
        <v>76.5</v>
      </c>
      <c r="AM25" s="59" t="n">
        <v>45.053872</v>
      </c>
      <c r="AN25" s="59" t="n">
        <v>9.758993</v>
      </c>
      <c r="AO25" s="60" t="inlineStr">
        <is>
          <t>Apri Google Maps</t>
        </is>
      </c>
      <c r="AP25" s="8" t="inlineStr">
        <is>
          <t>Linea AT 132 kV a ~182 m; Area residenziale a ~120 m: verificare la destinazione urbanistica; 5,1 ha oltre i 300 m</t>
        </is>
      </c>
      <c r="AQ25" s="47" t="n"/>
      <c r="AR25" s="61" t="n"/>
      <c r="AS25" s="62">
        <f>IF(AR25="","",AR25*762.02)</f>
        <v/>
      </c>
      <c r="AT25" s="7">
        <f>IF(AR25="","",IF(AR25&lt;=$C$3,"SÌ (ENTRO 8€/MQ)","NO (SOPRA SOGLIA -&gt; PROPORRE DDS)"))</f>
        <v/>
      </c>
    </row>
    <row r="26" ht="24" customHeight="1">
      <c r="A26" s="7" t="n">
        <v>21</v>
      </c>
      <c r="B26" s="32" t="inlineStr">
        <is>
          <t>PC-A1-111</t>
        </is>
      </c>
      <c r="C26" s="8" t="inlineStr">
        <is>
          <t>Riserva Periurbana (&lt;250m Z.I./Res.)</t>
        </is>
      </c>
      <c r="D26" s="8" t="inlineStr">
        <is>
          <t>⚠️ Riserva Periurbana (Verifica PRG/Prezzo)</t>
        </is>
      </c>
      <c r="E26" s="6" t="inlineStr">
        <is>
          <t>Fiorenzuola d'Arda</t>
        </is>
      </c>
      <c r="F26" s="7" t="inlineStr">
        <is>
          <t>D611</t>
        </is>
      </c>
      <c r="G26" s="7" t="n">
        <v>3</v>
      </c>
      <c r="H26" s="7" t="n">
        <v>72</v>
      </c>
      <c r="I26" s="52" t="n">
        <v>5.5</v>
      </c>
      <c r="J26" s="52" t="n">
        <v>4.78</v>
      </c>
      <c r="K26" s="53">
        <f>I26*13.1230</f>
        <v/>
      </c>
      <c r="L26" s="53">
        <f>J26*13.1230</f>
        <v/>
      </c>
      <c r="M26" s="7" t="inlineStr">
        <is>
          <t>A1</t>
        </is>
      </c>
      <c r="N26" s="54" t="n">
        <v>44</v>
      </c>
      <c r="O26" s="54" t="n">
        <v>446</v>
      </c>
      <c r="P26" s="7" t="n">
        <v>132</v>
      </c>
      <c r="Q26" s="8" t="inlineStr">
        <is>
          <t>Fiorenzuola AV (132 kV)</t>
        </is>
      </c>
      <c r="R26" s="55" t="n">
        <v>1.2</v>
      </c>
      <c r="S26" s="8" t="inlineStr">
        <is>
          <t>CP Fiorenzuola d'Arda (AC001E01230)</t>
        </is>
      </c>
      <c r="T26" s="54" t="n">
        <v>1560</v>
      </c>
      <c r="U26" s="11" t="n">
        <v>146400</v>
      </c>
      <c r="V26" s="56" t="n">
        <v>4.58</v>
      </c>
      <c r="W26" s="56" t="n">
        <v>3.98</v>
      </c>
      <c r="X26" s="54" t="n">
        <v>7295</v>
      </c>
      <c r="Y26" s="10" t="n">
        <v>5.45</v>
      </c>
      <c r="Z26" s="12" t="n">
        <v>5.6</v>
      </c>
      <c r="AA26" s="14">
        <f>Z26*762.02</f>
        <v/>
      </c>
      <c r="AB26" s="13">
        <f>I26*10000*Z26</f>
        <v/>
      </c>
      <c r="AC26" s="7" t="inlineStr">
        <is>
          <t>5.50-6.80</t>
        </is>
      </c>
      <c r="AD26" s="7" t="inlineStr">
        <is>
          <t>80-116</t>
        </is>
      </c>
      <c r="AE26" s="20" t="n">
        <v>8.5</v>
      </c>
      <c r="AF26" s="22">
        <f>AE26*762.02</f>
        <v/>
      </c>
      <c r="AG26" s="21">
        <f>I26*10000*AE26</f>
        <v/>
      </c>
      <c r="AH26" s="21">
        <f>I26*10000*$C$3</f>
        <v/>
      </c>
      <c r="AI26" s="11">
        <f>I26*630</f>
        <v/>
      </c>
      <c r="AJ26" s="57">
        <f>I26*3000</f>
        <v/>
      </c>
      <c r="AK26" s="57">
        <f>AJ26*30</f>
        <v/>
      </c>
      <c r="AL26" s="58" t="n">
        <v>80</v>
      </c>
      <c r="AM26" s="59" t="n">
        <v>44.962075</v>
      </c>
      <c r="AN26" s="59" t="n">
        <v>9.901297</v>
      </c>
      <c r="AO26" s="60" t="inlineStr">
        <is>
          <t>Apri Google Maps</t>
        </is>
      </c>
      <c r="AP26" s="8" t="inlineStr">
        <is>
          <t>Stazione elettrica Fiorenzuola AV a ~1,2 km; Area produttiva a ~241 m: verificare la destinazione urbanistica; 0,7 ha oltre i 300 m</t>
        </is>
      </c>
      <c r="AQ26" s="47" t="n"/>
      <c r="AR26" s="61" t="n"/>
      <c r="AS26" s="62">
        <f>IF(AR26="","",AR26*762.02)</f>
        <v/>
      </c>
      <c r="AT26" s="7">
        <f>IF(AR26="","",IF(AR26&lt;=$C$3,"SÌ (ENTRO 8€/MQ)","NO (SOPRA SOGLIA -&gt; PROPORRE DDS)"))</f>
        <v/>
      </c>
    </row>
    <row r="27" ht="24" customHeight="1">
      <c r="A27" s="7" t="n">
        <v>22</v>
      </c>
      <c r="B27" s="32" t="inlineStr">
        <is>
          <t>PC-A1-112</t>
        </is>
      </c>
      <c r="C27" s="8" t="inlineStr">
        <is>
          <t>Riserva Periurbana (&lt;250m Z.I./Res.)</t>
        </is>
      </c>
      <c r="D27" s="8" t="inlineStr">
        <is>
          <t>⚠️ Riserva Periurbana (Verifica PRG/Prezzo)</t>
        </is>
      </c>
      <c r="E27" s="6" t="inlineStr">
        <is>
          <t>Fiorenzuola d'Arda</t>
        </is>
      </c>
      <c r="F27" s="7" t="inlineStr">
        <is>
          <t>D611</t>
        </is>
      </c>
      <c r="G27" s="7" t="n">
        <v>3</v>
      </c>
      <c r="H27" s="7" t="n">
        <v>139</v>
      </c>
      <c r="I27" s="52" t="n">
        <v>4.71</v>
      </c>
      <c r="J27" s="52" t="n">
        <v>4.71</v>
      </c>
      <c r="K27" s="53">
        <f>I27*13.1230</f>
        <v/>
      </c>
      <c r="L27" s="53">
        <f>J27*13.1230</f>
        <v/>
      </c>
      <c r="M27" s="7" t="inlineStr">
        <is>
          <t>A1</t>
        </is>
      </c>
      <c r="N27" s="54" t="n">
        <v>14</v>
      </c>
      <c r="O27" s="54" t="n">
        <v>88</v>
      </c>
      <c r="P27" s="7" t="n">
        <v>132</v>
      </c>
      <c r="Q27" s="8" t="inlineStr">
        <is>
          <t>Fiorenzuola AV (132 kV)</t>
        </is>
      </c>
      <c r="R27" s="55" t="n">
        <v>0.6</v>
      </c>
      <c r="S27" s="8" t="inlineStr">
        <is>
          <t>CP Fiorenzuola d'Arda (AC001E01230)</t>
        </is>
      </c>
      <c r="T27" s="54" t="n">
        <v>780</v>
      </c>
      <c r="U27" s="11" t="n">
        <v>95700</v>
      </c>
      <c r="V27" s="56" t="n">
        <v>3.93</v>
      </c>
      <c r="W27" s="56" t="n">
        <v>3.93</v>
      </c>
      <c r="X27" s="54" t="n">
        <v>6259</v>
      </c>
      <c r="Y27" s="10" t="n">
        <v>5.45</v>
      </c>
      <c r="Z27" s="12" t="n">
        <v>5.6</v>
      </c>
      <c r="AA27" s="14">
        <f>Z27*762.02</f>
        <v/>
      </c>
      <c r="AB27" s="13">
        <f>I27*10000*Z27</f>
        <v/>
      </c>
      <c r="AC27" s="7" t="inlineStr">
        <is>
          <t>5.50-6.80</t>
        </is>
      </c>
      <c r="AD27" s="7" t="inlineStr">
        <is>
          <t>80-116</t>
        </is>
      </c>
      <c r="AE27" s="20" t="n">
        <v>8.5</v>
      </c>
      <c r="AF27" s="22">
        <f>AE27*762.02</f>
        <v/>
      </c>
      <c r="AG27" s="21">
        <f>I27*10000*AE27</f>
        <v/>
      </c>
      <c r="AH27" s="21">
        <f>I27*10000*$C$3</f>
        <v/>
      </c>
      <c r="AI27" s="11">
        <f>I27*630</f>
        <v/>
      </c>
      <c r="AJ27" s="57">
        <f>I27*3000</f>
        <v/>
      </c>
      <c r="AK27" s="57">
        <f>AJ27*30</f>
        <v/>
      </c>
      <c r="AL27" s="58" t="n">
        <v>83</v>
      </c>
      <c r="AM27" s="59" t="n">
        <v>44.967203</v>
      </c>
      <c r="AN27" s="59" t="n">
        <v>9.897651</v>
      </c>
      <c r="AO27" s="60" t="inlineStr">
        <is>
          <t>Apri Google Maps</t>
        </is>
      </c>
      <c r="AP27" s="8" t="inlineStr">
        <is>
          <t>Linea AT 132 kV a ~88 m; Stazione elettrica Fiorenzuola AV a ~0,6 km; Area produttiva a ~120 m: verificare la destinazione urbanistica</t>
        </is>
      </c>
      <c r="AQ27" s="47" t="n"/>
      <c r="AR27" s="61" t="n"/>
      <c r="AS27" s="62">
        <f>IF(AR27="","",AR27*762.02)</f>
        <v/>
      </c>
      <c r="AT27" s="7">
        <f>IF(AR27="","",IF(AR27&lt;=$C$3,"SÌ (ENTRO 8€/MQ)","NO (SOPRA SOGLIA -&gt; PROPORRE DDS)"))</f>
        <v/>
      </c>
    </row>
    <row r="28" ht="24" customHeight="1">
      <c r="A28" s="7" t="n">
        <v>23</v>
      </c>
      <c r="B28" s="32" t="inlineStr">
        <is>
          <t>PC-A21-113</t>
        </is>
      </c>
      <c r="C28" s="8" t="inlineStr">
        <is>
          <t>Riserva Periurbana (&lt;250m Z.I./Res.)</t>
        </is>
      </c>
      <c r="D28" s="8" t="inlineStr">
        <is>
          <t>⚠️ Riserva Periurbana (Verifica PRG/Prezzo)</t>
        </is>
      </c>
      <c r="E28" s="6" t="inlineStr">
        <is>
          <t>Piacenza</t>
        </is>
      </c>
      <c r="F28" s="7" t="inlineStr">
        <is>
          <t>G535</t>
        </is>
      </c>
      <c r="G28" s="7" t="n">
        <v>26</v>
      </c>
      <c r="H28" s="7" t="n">
        <v>1088</v>
      </c>
      <c r="I28" s="52" t="n">
        <v>4.51</v>
      </c>
      <c r="J28" s="52" t="n">
        <v>4.51</v>
      </c>
      <c r="K28" s="53">
        <f>I28*13.1230</f>
        <v/>
      </c>
      <c r="L28" s="53">
        <f>J28*13.1230</f>
        <v/>
      </c>
      <c r="M28" s="7" t="inlineStr">
        <is>
          <t>A21</t>
        </is>
      </c>
      <c r="N28" s="54" t="n">
        <v>17</v>
      </c>
      <c r="O28" s="54" t="n">
        <v>54</v>
      </c>
      <c r="P28" s="7" t="n">
        <v>132</v>
      </c>
      <c r="Q28" s="8" t="inlineStr">
        <is>
          <t>(senza nome) (132 kV)</t>
        </is>
      </c>
      <c r="R28" s="55" t="n">
        <v>2.3</v>
      </c>
      <c r="S28" s="8" t="inlineStr">
        <is>
          <t>CP Piacenza (AC001E01168)</t>
        </is>
      </c>
      <c r="T28" s="54" t="n">
        <v>2990</v>
      </c>
      <c r="U28" s="11" t="n">
        <v>239350</v>
      </c>
      <c r="V28" s="56" t="n">
        <v>3.76</v>
      </c>
      <c r="W28" s="56" t="n">
        <v>3.76</v>
      </c>
      <c r="X28" s="54" t="n">
        <v>5989</v>
      </c>
      <c r="Y28" s="10" t="n">
        <v>5.65</v>
      </c>
      <c r="Z28" s="12" t="n">
        <v>6.15</v>
      </c>
      <c r="AA28" s="14">
        <f>Z28*762.02</f>
        <v/>
      </c>
      <c r="AB28" s="13">
        <f>I28*10000*Z28</f>
        <v/>
      </c>
      <c r="AC28" s="7" t="inlineStr">
        <is>
          <t>6.00-7.60</t>
        </is>
      </c>
      <c r="AD28" s="7" t="inlineStr">
        <is>
          <t>80-140</t>
        </is>
      </c>
      <c r="AE28" s="20" t="n">
        <v>8.5</v>
      </c>
      <c r="AF28" s="22">
        <f>AE28*762.02</f>
        <v/>
      </c>
      <c r="AG28" s="21">
        <f>I28*10000*AE28</f>
        <v/>
      </c>
      <c r="AH28" s="21">
        <f>I28*10000*$C$3</f>
        <v/>
      </c>
      <c r="AI28" s="11">
        <f>I28*700</f>
        <v/>
      </c>
      <c r="AJ28" s="57">
        <f>I28*3000</f>
        <v/>
      </c>
      <c r="AK28" s="57">
        <f>AJ28*30</f>
        <v/>
      </c>
      <c r="AL28" s="58" t="n">
        <v>75</v>
      </c>
      <c r="AM28" s="59" t="n">
        <v>45.051764</v>
      </c>
      <c r="AN28" s="59" t="n">
        <v>9.764595999999999</v>
      </c>
      <c r="AO28" s="60" t="inlineStr">
        <is>
          <t>Apri Google Maps</t>
        </is>
      </c>
      <c r="AP28" s="8" t="inlineStr">
        <is>
          <t>Linea AT 132 kV a ~54 m</t>
        </is>
      </c>
      <c r="AQ28" s="47" t="n"/>
      <c r="AR28" s="61" t="n"/>
      <c r="AS28" s="62">
        <f>IF(AR28="","",AR28*762.02)</f>
        <v/>
      </c>
      <c r="AT28" s="7">
        <f>IF(AR28="","",IF(AR28&lt;=$C$3,"SÌ (ENTRO 8€/MQ)","NO (SOPRA SOGLIA -&gt; PROPORRE DDS)"))</f>
        <v/>
      </c>
    </row>
    <row r="29" ht="24" customHeight="1">
      <c r="A29" s="7" t="n">
        <v>24</v>
      </c>
      <c r="B29" s="32" t="inlineStr">
        <is>
          <t>PC-A21-114</t>
        </is>
      </c>
      <c r="C29" s="8" t="inlineStr">
        <is>
          <t>Riserva Periurbana (&lt;250m Z.I./Res.)</t>
        </is>
      </c>
      <c r="D29" s="8" t="inlineStr">
        <is>
          <t>⚠️ Riserva Periurbana (Verifica PRG/Prezzo)</t>
        </is>
      </c>
      <c r="E29" s="6" t="inlineStr">
        <is>
          <t>Piacenza</t>
        </is>
      </c>
      <c r="F29" s="7" t="inlineStr">
        <is>
          <t>G535</t>
        </is>
      </c>
      <c r="G29" s="7" t="n">
        <v>39</v>
      </c>
      <c r="H29" s="7" t="n">
        <v>3066</v>
      </c>
      <c r="I29" s="52" t="n">
        <v>4.25</v>
      </c>
      <c r="J29" s="52" t="n">
        <v>4.25</v>
      </c>
      <c r="K29" s="53">
        <f>I29*13.1230</f>
        <v/>
      </c>
      <c r="L29" s="53">
        <f>J29*13.1230</f>
        <v/>
      </c>
      <c r="M29" s="7" t="inlineStr">
        <is>
          <t>A21</t>
        </is>
      </c>
      <c r="N29" s="54" t="n">
        <v>36</v>
      </c>
      <c r="O29" s="54" t="n">
        <v>56</v>
      </c>
      <c r="P29" s="7" t="n">
        <v>132</v>
      </c>
      <c r="Q29" s="8" t="inlineStr">
        <is>
          <t>Piacenza Ovest (132 kV)</t>
        </is>
      </c>
      <c r="R29" s="55" t="n">
        <v>0.9</v>
      </c>
      <c r="S29" s="8" t="inlineStr">
        <is>
          <t>CP Piacenza (AC001E01167)</t>
        </is>
      </c>
      <c r="T29" s="54" t="n">
        <v>1170</v>
      </c>
      <c r="U29" s="11" t="n">
        <v>121050</v>
      </c>
      <c r="V29" s="56" t="n">
        <v>3.54</v>
      </c>
      <c r="W29" s="56" t="n">
        <v>3.54</v>
      </c>
      <c r="X29" s="54" t="n">
        <v>5638</v>
      </c>
      <c r="Y29" s="10" t="n">
        <v>5.65</v>
      </c>
      <c r="Z29" s="12" t="n">
        <v>6.15</v>
      </c>
      <c r="AA29" s="14">
        <f>Z29*762.02</f>
        <v/>
      </c>
      <c r="AB29" s="13">
        <f>I29*10000*Z29</f>
        <v/>
      </c>
      <c r="AC29" s="7" t="inlineStr">
        <is>
          <t>6.00-7.60</t>
        </is>
      </c>
      <c r="AD29" s="7" t="inlineStr">
        <is>
          <t>80-140</t>
        </is>
      </c>
      <c r="AE29" s="20" t="n">
        <v>8.5</v>
      </c>
      <c r="AF29" s="22">
        <f>AE29*762.02</f>
        <v/>
      </c>
      <c r="AG29" s="21">
        <f>I29*10000*AE29</f>
        <v/>
      </c>
      <c r="AH29" s="21">
        <f>I29*10000*$C$3</f>
        <v/>
      </c>
      <c r="AI29" s="11">
        <f>I29*700</f>
        <v/>
      </c>
      <c r="AJ29" s="57">
        <f>I29*3000</f>
        <v/>
      </c>
      <c r="AK29" s="57">
        <f>AJ29*30</f>
        <v/>
      </c>
      <c r="AL29" s="58" t="n">
        <v>83</v>
      </c>
      <c r="AM29" s="59" t="n">
        <v>45.062611</v>
      </c>
      <c r="AN29" s="59" t="n">
        <v>9.666918000000001</v>
      </c>
      <c r="AO29" s="60" t="inlineStr">
        <is>
          <t>Apri Google Maps</t>
        </is>
      </c>
      <c r="AP29" s="8" t="inlineStr">
        <is>
          <t>Linea AT 132 kV a ~56 m; Stazione elettrica Piacenza Ovest a ~0,9 km; Area produttiva a ~4 m: verificare la destinazione urbanistica</t>
        </is>
      </c>
      <c r="AQ29" s="47" t="n"/>
      <c r="AR29" s="61" t="n"/>
      <c r="AS29" s="62">
        <f>IF(AR29="","",AR29*762.02)</f>
        <v/>
      </c>
      <c r="AT29" s="7">
        <f>IF(AR29="","",IF(AR29&lt;=$C$3,"SÌ (ENTRO 8€/MQ)","NO (SOPRA SOGLIA -&gt; PROPORRE DDS)"))</f>
        <v/>
      </c>
    </row>
    <row r="30" ht="24" customHeight="1">
      <c r="A30" s="7" t="n">
        <v>25</v>
      </c>
      <c r="B30" s="32" t="inlineStr">
        <is>
          <t>PC-A21-115</t>
        </is>
      </c>
      <c r="C30" s="8" t="inlineStr">
        <is>
          <t>Riserva Periurbana (&lt;250m Z.I./Res.)</t>
        </is>
      </c>
      <c r="D30" s="8" t="inlineStr">
        <is>
          <t>⚠️ Riserva Periurbana (Verifica PRG/Prezzo)</t>
        </is>
      </c>
      <c r="E30" s="6" t="inlineStr">
        <is>
          <t>Calendasco</t>
        </is>
      </c>
      <c r="F30" s="7" t="inlineStr">
        <is>
          <t>B405</t>
        </is>
      </c>
      <c r="G30" s="7" t="n">
        <v>33</v>
      </c>
      <c r="H30" s="7" t="n">
        <v>14</v>
      </c>
      <c r="I30" s="52" t="n">
        <v>4.2</v>
      </c>
      <c r="J30" s="52" t="n">
        <v>4.2</v>
      </c>
      <c r="K30" s="53">
        <f>I30*13.1230</f>
        <v/>
      </c>
      <c r="L30" s="53">
        <f>J30*13.1230</f>
        <v/>
      </c>
      <c r="M30" s="7" t="inlineStr">
        <is>
          <t>A21</t>
        </is>
      </c>
      <c r="N30" s="54" t="n">
        <v>16</v>
      </c>
      <c r="O30" s="54" t="n">
        <v>27</v>
      </c>
      <c r="P30" s="7" t="n">
        <v>132</v>
      </c>
      <c r="Q30" s="8" t="inlineStr">
        <is>
          <t>(senza nome) (132 kV)</t>
        </is>
      </c>
      <c r="R30" s="55" t="n">
        <v>0.7</v>
      </c>
      <c r="S30" s="8" t="inlineStr">
        <is>
          <t>CP Piacenza (AC001E01167)</t>
        </is>
      </c>
      <c r="T30" s="54" t="n">
        <v>910</v>
      </c>
      <c r="U30" s="11" t="n">
        <v>104150</v>
      </c>
      <c r="V30" s="56" t="n">
        <v>3.5</v>
      </c>
      <c r="W30" s="56" t="n">
        <v>3.5</v>
      </c>
      <c r="X30" s="54" t="n">
        <v>5574</v>
      </c>
      <c r="Y30" s="10" t="n">
        <v>5.65</v>
      </c>
      <c r="Z30" s="12" t="n">
        <v>5.4</v>
      </c>
      <c r="AA30" s="14">
        <f>Z30*762.02</f>
        <v/>
      </c>
      <c r="AB30" s="13">
        <f>I30*10000*Z30</f>
        <v/>
      </c>
      <c r="AC30" s="7" t="inlineStr">
        <is>
          <t>5.20-6.40</t>
        </is>
      </c>
      <c r="AD30" s="7" t="inlineStr">
        <is>
          <t>65-90</t>
        </is>
      </c>
      <c r="AE30" s="20" t="n">
        <v>8.5</v>
      </c>
      <c r="AF30" s="22">
        <f>AE30*762.02</f>
        <v/>
      </c>
      <c r="AG30" s="21">
        <f>I30*10000*AE30</f>
        <v/>
      </c>
      <c r="AH30" s="21">
        <f>I30*10000*$C$3</f>
        <v/>
      </c>
      <c r="AI30" s="11">
        <f>I30*610</f>
        <v/>
      </c>
      <c r="AJ30" s="57">
        <f>I30*3000</f>
        <v/>
      </c>
      <c r="AK30" s="57">
        <f>AJ30*30</f>
        <v/>
      </c>
      <c r="AL30" s="58" t="n">
        <v>83</v>
      </c>
      <c r="AM30" s="59" t="n">
        <v>45.063441</v>
      </c>
      <c r="AN30" s="59" t="n">
        <v>9.633849</v>
      </c>
      <c r="AO30" s="60" t="inlineStr">
        <is>
          <t>Apri Google Maps</t>
        </is>
      </c>
      <c r="AP30" s="8" t="inlineStr">
        <is>
          <t>Linea AT 132 kV sul fondo o al confine: condiziona il layout, ma la rete è vicina; Stazione elettrica a ~0,7 km; Area produttiva a ~137 m: verificare la destinazione urbanistica</t>
        </is>
      </c>
      <c r="AQ30" s="47" t="n"/>
      <c r="AR30" s="61" t="n"/>
      <c r="AS30" s="62">
        <f>IF(AR30="","",AR30*762.02)</f>
        <v/>
      </c>
      <c r="AT30" s="7">
        <f>IF(AR30="","",IF(AR30&lt;=$C$3,"SÌ (ENTRO 8€/MQ)","NO (SOPRA SOGLIA -&gt; PROPORRE DDS)"))</f>
        <v/>
      </c>
    </row>
    <row r="31" ht="24" customHeight="1">
      <c r="A31" s="7" t="n">
        <v>26</v>
      </c>
      <c r="B31" s="32" t="inlineStr">
        <is>
          <t>PC-A21-116</t>
        </is>
      </c>
      <c r="C31" s="8" t="inlineStr">
        <is>
          <t>Riserva Periurbana (&lt;250m Z.I./Res.)</t>
        </is>
      </c>
      <c r="D31" s="8" t="inlineStr">
        <is>
          <t>⚠️ Riserva Periurbana (Verifica PRG/Prezzo)</t>
        </is>
      </c>
      <c r="E31" s="6" t="inlineStr">
        <is>
          <t>Piacenza</t>
        </is>
      </c>
      <c r="F31" s="7" t="inlineStr">
        <is>
          <t>G535</t>
        </is>
      </c>
      <c r="G31" s="7" t="n">
        <v>40</v>
      </c>
      <c r="H31" s="7" t="n">
        <v>194</v>
      </c>
      <c r="I31" s="52" t="n">
        <v>4.14</v>
      </c>
      <c r="J31" s="52" t="n">
        <v>4.14</v>
      </c>
      <c r="K31" s="53">
        <f>I31*13.1230</f>
        <v/>
      </c>
      <c r="L31" s="53">
        <f>J31*13.1230</f>
        <v/>
      </c>
      <c r="M31" s="7" t="inlineStr">
        <is>
          <t>A21</t>
        </is>
      </c>
      <c r="N31" s="54" t="n">
        <v>15</v>
      </c>
      <c r="O31" s="54" t="n">
        <v>75</v>
      </c>
      <c r="P31" s="7" t="n">
        <v>132</v>
      </c>
      <c r="Q31" s="8" t="inlineStr">
        <is>
          <t>Piacenza Ovest (132 kV)</t>
        </is>
      </c>
      <c r="R31" s="55" t="n">
        <v>0.8</v>
      </c>
      <c r="S31" s="8" t="inlineStr">
        <is>
          <t>CP Piacenza (AC001E01167)</t>
        </is>
      </c>
      <c r="T31" s="54" t="n">
        <v>1040</v>
      </c>
      <c r="U31" s="11" t="n">
        <v>112600</v>
      </c>
      <c r="V31" s="56" t="n">
        <v>3.45</v>
      </c>
      <c r="W31" s="56" t="n">
        <v>3.45</v>
      </c>
      <c r="X31" s="54" t="n">
        <v>5495</v>
      </c>
      <c r="Y31" s="10" t="n">
        <v>5.65</v>
      </c>
      <c r="Z31" s="12" t="n">
        <v>6.15</v>
      </c>
      <c r="AA31" s="14">
        <f>Z31*762.02</f>
        <v/>
      </c>
      <c r="AB31" s="13">
        <f>I31*10000*Z31</f>
        <v/>
      </c>
      <c r="AC31" s="7" t="inlineStr">
        <is>
          <t>6.00-7.60</t>
        </is>
      </c>
      <c r="AD31" s="7" t="inlineStr">
        <is>
          <t>80-140</t>
        </is>
      </c>
      <c r="AE31" s="20" t="n">
        <v>8.5</v>
      </c>
      <c r="AF31" s="22">
        <f>AE31*762.02</f>
        <v/>
      </c>
      <c r="AG31" s="21">
        <f>I31*10000*AE31</f>
        <v/>
      </c>
      <c r="AH31" s="21">
        <f>I31*10000*$C$3</f>
        <v/>
      </c>
      <c r="AI31" s="11">
        <f>I31*700</f>
        <v/>
      </c>
      <c r="AJ31" s="57">
        <f>I31*3000</f>
        <v/>
      </c>
      <c r="AK31" s="57">
        <f>AJ31*30</f>
        <v/>
      </c>
      <c r="AL31" s="58" t="n">
        <v>83</v>
      </c>
      <c r="AM31" s="59" t="n">
        <v>45.060433</v>
      </c>
      <c r="AN31" s="59" t="n">
        <v>9.683897</v>
      </c>
      <c r="AO31" s="60" t="inlineStr">
        <is>
          <t>Apri Google Maps</t>
        </is>
      </c>
      <c r="AP31" s="8" t="inlineStr">
        <is>
          <t>Linea AT 132 kV a ~75 m; Stazione elettrica Piacenza Ovest a ~0,8 km; Area produttiva a ~137 m: verificare la destinazione urbanistica</t>
        </is>
      </c>
      <c r="AQ31" s="47" t="n"/>
      <c r="AR31" s="61" t="n"/>
      <c r="AS31" s="62">
        <f>IF(AR31="","",AR31*762.02)</f>
        <v/>
      </c>
      <c r="AT31" s="7">
        <f>IF(AR31="","",IF(AR31&lt;=$C$3,"SÌ (ENTRO 8€/MQ)","NO (SOPRA SOGLIA -&gt; PROPORRE DDS)"))</f>
        <v/>
      </c>
    </row>
    <row r="32" ht="26" customHeight="1">
      <c r="A32" s="24" t="n"/>
      <c r="B32" s="24" t="n"/>
      <c r="C32" s="24" t="n"/>
      <c r="D32" s="24" t="n"/>
      <c r="E32" s="24" t="inlineStr">
        <is>
          <t>TOTALE / MEDIA</t>
        </is>
      </c>
      <c r="F32" s="24" t="n"/>
      <c r="G32" s="24" t="n"/>
      <c r="H32" s="24" t="n"/>
      <c r="I32" s="25">
        <f>SUM(I6:I31)</f>
        <v/>
      </c>
      <c r="J32" s="25">
        <f>SUM(J6:J31)</f>
        <v/>
      </c>
      <c r="K32" s="25">
        <f>SUM(K6:K31)</f>
        <v/>
      </c>
      <c r="L32" s="25">
        <f>SUM(L6:L31)</f>
        <v/>
      </c>
      <c r="M32" s="24" t="n"/>
      <c r="N32" s="24" t="n"/>
      <c r="O32" s="24" t="n"/>
      <c r="P32" s="24" t="n"/>
      <c r="Q32" s="24" t="n"/>
      <c r="R32" s="24" t="n"/>
      <c r="S32" s="24" t="n"/>
      <c r="T32" s="24" t="n"/>
      <c r="U32" s="27">
        <f>SUM(U6:U31)</f>
        <v/>
      </c>
      <c r="V32" s="25">
        <f>SUM(V6:V31)</f>
        <v/>
      </c>
      <c r="W32" s="25">
        <f>SUM(W6:W31)</f>
        <v/>
      </c>
      <c r="X32" s="25">
        <f>SUM(X6:X31)</f>
        <v/>
      </c>
      <c r="Y32" s="26">
        <f>AVERAGE(Y6:Y31)</f>
        <v/>
      </c>
      <c r="Z32" s="26">
        <f>AVERAGE(Z6:Z31)</f>
        <v/>
      </c>
      <c r="AA32" s="28">
        <f>AVERAGE(AA6:AA31)</f>
        <v/>
      </c>
      <c r="AB32" s="27">
        <f>SUM(AB6:AB31)</f>
        <v/>
      </c>
      <c r="AC32" s="24" t="n"/>
      <c r="AD32" s="24" t="n"/>
      <c r="AE32" s="26">
        <f>AVERAGE(AE6:AE31)</f>
        <v/>
      </c>
      <c r="AF32" s="28">
        <f>AVERAGE(AF6:AF31)</f>
        <v/>
      </c>
      <c r="AG32" s="27">
        <f>SUM(AG6:AG31)</f>
        <v/>
      </c>
      <c r="AH32" s="27">
        <f>SUM(AH6:AH31)</f>
        <v/>
      </c>
      <c r="AI32" s="27">
        <f>SUM(AI6:AI31)</f>
        <v/>
      </c>
      <c r="AJ32" s="27">
        <f>SUM(AJ6:AJ31)</f>
        <v/>
      </c>
      <c r="AK32" s="27">
        <f>SUM(AK6:AK31)</f>
        <v/>
      </c>
      <c r="AL32" s="63">
        <f>AVERAGE(AL6:AL31)</f>
        <v/>
      </c>
      <c r="AM32" s="24" t="n"/>
      <c r="AN32" s="24" t="n"/>
      <c r="AO32" s="24" t="n"/>
      <c r="AP32" s="24" t="n"/>
      <c r="AQ32" s="24" t="n"/>
      <c r="AR32" s="24" t="n"/>
      <c r="AS32" s="24" t="n"/>
      <c r="AT32" s="24" t="n"/>
    </row>
  </sheetData>
  <hyperlinks>
    <hyperlink xmlns:r="http://schemas.openxmlformats.org/officeDocument/2006/relationships" ref="AO6" r:id="rId1"/>
    <hyperlink xmlns:r="http://schemas.openxmlformats.org/officeDocument/2006/relationships" ref="AO7" r:id="rId2"/>
    <hyperlink xmlns:r="http://schemas.openxmlformats.org/officeDocument/2006/relationships" ref="AO8" r:id="rId3"/>
    <hyperlink xmlns:r="http://schemas.openxmlformats.org/officeDocument/2006/relationships" ref="AO9" r:id="rId4"/>
    <hyperlink xmlns:r="http://schemas.openxmlformats.org/officeDocument/2006/relationships" ref="AO10" r:id="rId5"/>
    <hyperlink xmlns:r="http://schemas.openxmlformats.org/officeDocument/2006/relationships" ref="AO11" r:id="rId6"/>
    <hyperlink xmlns:r="http://schemas.openxmlformats.org/officeDocument/2006/relationships" ref="AO12" r:id="rId7"/>
    <hyperlink xmlns:r="http://schemas.openxmlformats.org/officeDocument/2006/relationships" ref="AO13" r:id="rId8"/>
    <hyperlink xmlns:r="http://schemas.openxmlformats.org/officeDocument/2006/relationships" ref="AO14" r:id="rId9"/>
    <hyperlink xmlns:r="http://schemas.openxmlformats.org/officeDocument/2006/relationships" ref="AO15" r:id="rId10"/>
    <hyperlink xmlns:r="http://schemas.openxmlformats.org/officeDocument/2006/relationships" ref="AO16" r:id="rId11"/>
    <hyperlink xmlns:r="http://schemas.openxmlformats.org/officeDocument/2006/relationships" ref="AO17" r:id="rId12"/>
    <hyperlink xmlns:r="http://schemas.openxmlformats.org/officeDocument/2006/relationships" ref="AO18" r:id="rId13"/>
    <hyperlink xmlns:r="http://schemas.openxmlformats.org/officeDocument/2006/relationships" ref="AO19" r:id="rId14"/>
    <hyperlink xmlns:r="http://schemas.openxmlformats.org/officeDocument/2006/relationships" ref="AO20" r:id="rId15"/>
    <hyperlink xmlns:r="http://schemas.openxmlformats.org/officeDocument/2006/relationships" ref="AO21" r:id="rId16"/>
    <hyperlink xmlns:r="http://schemas.openxmlformats.org/officeDocument/2006/relationships" ref="AO22" r:id="rId17"/>
    <hyperlink xmlns:r="http://schemas.openxmlformats.org/officeDocument/2006/relationships" ref="AO23" r:id="rId18"/>
    <hyperlink xmlns:r="http://schemas.openxmlformats.org/officeDocument/2006/relationships" ref="AO24" r:id="rId19"/>
    <hyperlink xmlns:r="http://schemas.openxmlformats.org/officeDocument/2006/relationships" ref="AO25" r:id="rId20"/>
    <hyperlink xmlns:r="http://schemas.openxmlformats.org/officeDocument/2006/relationships" ref="AO26" r:id="rId21"/>
    <hyperlink xmlns:r="http://schemas.openxmlformats.org/officeDocument/2006/relationships" ref="AO27" r:id="rId22"/>
    <hyperlink xmlns:r="http://schemas.openxmlformats.org/officeDocument/2006/relationships" ref="AO28" r:id="rId23"/>
    <hyperlink xmlns:r="http://schemas.openxmlformats.org/officeDocument/2006/relationships" ref="AO29" r:id="rId24"/>
    <hyperlink xmlns:r="http://schemas.openxmlformats.org/officeDocument/2006/relationships" ref="AO30" r:id="rId25"/>
    <hyperlink xmlns:r="http://schemas.openxmlformats.org/officeDocument/2006/relationships" ref="AO31" r:id="rId2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34" customWidth="1" min="2" max="2"/>
    <col width="24" customWidth="1" min="3" max="3"/>
    <col width="36" customWidth="1" min="4" max="4"/>
    <col width="24" customWidth="1" min="5" max="5"/>
    <col width="24" customWidth="1" min="6" max="6"/>
    <col width="34" customWidth="1" min="7" max="7"/>
    <col width="50" customWidth="1" min="8" max="8"/>
  </cols>
  <sheetData>
    <row r="1">
      <c r="A1" s="1" t="inlineStr">
        <is>
          <t>COMPARABILI REALI DOCUMENTATI SUL TERRITORIO PIACENTINO &amp; VADEMECUM NEGOZIALE</t>
        </is>
      </c>
    </row>
    <row r="2">
      <c r="A2" s="2" t="inlineStr">
        <is>
          <t>Riferimenti puntuali da portali immobiliari (Idealista, Immobiliare.it, Trovacasa, Immobiliare 7 Valli, Demer), CREA e Tribunale di Piacenza</t>
        </is>
      </c>
    </row>
    <row r="4" ht="28" customHeight="1">
      <c r="A4" s="3" t="inlineStr">
        <is>
          <t>Tipologia Comparabile</t>
        </is>
      </c>
      <c r="B4" s="3" t="inlineStr">
        <is>
          <t>Localizzazione (Comune / Zona)</t>
        </is>
      </c>
      <c r="C4" s="3" t="inlineStr">
        <is>
          <t>Taglia Rilevata</t>
        </is>
      </c>
      <c r="D4" s="3" t="inlineStr">
        <is>
          <t>Prezzo Rilevato (Totale / Unitario)</t>
        </is>
      </c>
      <c r="E4" s="3" t="inlineStr">
        <is>
          <t>Prezzo in €/mq</t>
        </is>
      </c>
      <c r="F4" s="3" t="inlineStr">
        <is>
          <t>Prezzo in €/Pertica Piacentina</t>
        </is>
      </c>
      <c r="G4" s="3" t="inlineStr">
        <is>
          <t>Fonte del Dato</t>
        </is>
      </c>
      <c r="H4" s="3" t="inlineStr">
        <is>
          <t>Indicazione Operativa per SunPro</t>
        </is>
      </c>
    </row>
    <row r="5" ht="34" customHeight="1">
      <c r="A5" s="33" t="inlineStr">
        <is>
          <t>Compendio Agricolo Seminativo Irriguo</t>
        </is>
      </c>
      <c r="B5" s="33" t="inlineStr">
        <is>
          <t>Pianura Piacentina (Asse Via Emilia / Bassa)</t>
        </is>
      </c>
      <c r="C5" s="64" t="inlineStr">
        <is>
          <t>50 Pertiche Piacentine (~3,81 ha)</t>
        </is>
      </c>
      <c r="D5" s="34" t="inlineStr">
        <is>
          <t>Richiesta: 270.000 – 280.000 € a corpo</t>
        </is>
      </c>
      <c r="E5" s="36" t="inlineStr">
        <is>
          <t>7,08 – 7,35 €/mq (Asking) -&gt; ~6,40 €/mq al rogito</t>
        </is>
      </c>
      <c r="F5" s="36" t="inlineStr">
        <is>
          <t>5.400 – 5.600 €/pertica (Asking) -&gt; ~4.850 €/pertica rogito</t>
        </is>
      </c>
      <c r="G5" s="34" t="inlineStr">
        <is>
          <t>Annuncio Portale Trovacasa / Agenzie Agrarie Piacenza</t>
        </is>
      </c>
      <c r="H5" s="34" t="inlineStr">
        <is>
          <t>Dimostra che per corpi irrigui di ~4 ha la richiesta iniziale su portale è ~7,15 €/mq e si chiude sotto i 6,50 €/mq.</t>
        </is>
      </c>
    </row>
    <row r="6" ht="34" customHeight="1">
      <c r="A6" s="33" t="inlineStr">
        <is>
          <t>Transato Medio Seminativo Irriguo Pianura</t>
        </is>
      </c>
      <c r="B6" s="33" t="inlineStr">
        <is>
          <t>Provincia di Piacenza (Pianura Irrigua)</t>
        </is>
      </c>
      <c r="C6" s="64" t="inlineStr">
        <is>
          <t>Taglia media 5 – 20 ha</t>
        </is>
      </c>
      <c r="D6" s="34" t="inlineStr">
        <is>
          <t>45.000 – 52.000 €/ha (media ordinaria) fino a 65.000 €/ha (top irriguo)</t>
        </is>
      </c>
      <c r="E6" s="36" t="inlineStr">
        <is>
          <t>4,50 – 6,50 €/mq</t>
        </is>
      </c>
      <c r="F6" s="36" t="inlineStr">
        <is>
          <t>3.430 – 4.950 €/pertica</t>
        </is>
      </c>
      <c r="G6" s="34" t="inlineStr">
        <is>
          <t>Indagine Mercato Fondiario CREA &amp; Listini CCIAA Piacenza</t>
        </is>
      </c>
      <c r="H6" s="34" t="inlineStr">
        <is>
          <t>Conferma che l'offerta SunPro (6,80 – 7,85 €/mq) paga un premio reale del +20/+35% sopra i rogiti agricoli.</t>
        </is>
      </c>
    </row>
    <row r="7" ht="34" customHeight="1">
      <c r="A7" s="6" t="inlineStr">
        <is>
          <t>Aste Giudiziarie Terreni Agricoli Pianura</t>
        </is>
      </c>
      <c r="B7" s="6" t="inlineStr">
        <is>
          <t>Caorso, Cadeo, Pontenure, Rottofreno, Fiorenzuola</t>
        </is>
      </c>
      <c r="C7" s="7" t="inlineStr">
        <is>
          <t>Da 0,5 ha a oltre 10 ha</t>
        </is>
      </c>
      <c r="D7" s="8" t="inlineStr">
        <is>
          <t>Base d'asta: 8.000 – 25.000 €/ha (perizia CTU piena: 45.000-55.000 €/ha)</t>
        </is>
      </c>
      <c r="E7" s="32" t="inlineStr">
        <is>
          <t>0,80 – 2,50 €/mq (base asta ribassata)</t>
        </is>
      </c>
      <c r="F7" s="32" t="inlineStr">
        <is>
          <t>610 – 1.905 €/pertica (base asta)</t>
        </is>
      </c>
      <c r="G7" s="8" t="inlineStr">
        <is>
          <t>PVP Ministero Giustizia / IVG Parma e Piacenza</t>
        </is>
      </c>
      <c r="H7" s="8" t="inlineStr">
        <is>
          <t>Utile come argomento negoziale su terreni con esecuzioni o mutui ipotecari pendenti.</t>
        </is>
      </c>
    </row>
    <row r="8" ht="34" customHeight="1">
      <c r="A8" s="41" t="inlineStr">
        <is>
          <t>Lotto Edificabile Produttivo / Logistico</t>
        </is>
      </c>
      <c r="B8" s="41" t="inlineStr">
        <is>
          <t>Piacenza — Polo Logistico Le Mose / Caorsana</t>
        </is>
      </c>
      <c r="C8" s="65" t="inlineStr">
        <is>
          <t>Lotti da 5.000 a 30.000+ mq</t>
        </is>
      </c>
      <c r="D8" s="42" t="inlineStr">
        <is>
          <t>80 – 85 €/mq (grandi aree da urbanizzare) | 120 – 140 €/mq (lotti finiti)</t>
        </is>
      </c>
      <c r="E8" s="43" t="inlineStr">
        <is>
          <t>80,00 – 140,00 €/mq</t>
        </is>
      </c>
      <c r="F8" s="43" t="inlineStr">
        <is>
          <t>Non applicabile (venduto a mq edificabile)</t>
        </is>
      </c>
      <c r="G8" s="42" t="inlineStr">
        <is>
          <t>Immobiliare.it / Idealista — Comparto Le Mose / Piacenza Sud</t>
        </is>
      </c>
      <c r="H8" s="42" t="inlineStr">
        <is>
          <t>Motivo per cui i 12 lotti periurbani vicino a Le Mose sono stati separati nelle Riserve.</t>
        </is>
      </c>
    </row>
    <row r="9" ht="34" customHeight="1">
      <c r="A9" s="41" t="inlineStr">
        <is>
          <t>Lotto Industriale / Artigianale Urbanizzato</t>
        </is>
      </c>
      <c r="B9" s="41" t="inlineStr">
        <is>
          <t>Fiorenzuola d'Arda (Zona Svincolo A1 / Barabasca)</t>
        </is>
      </c>
      <c r="C9" s="65" t="inlineStr">
        <is>
          <t>Lotti da 3.000 a 15.000 mq</t>
        </is>
      </c>
      <c r="D9" s="42" t="inlineStr">
        <is>
          <t>80 €/mq (comparti espansione) | 100 – 116 €/mq (lotti recintati e urbanizzati)</t>
        </is>
      </c>
      <c r="E9" s="43" t="inlineStr">
        <is>
          <t>80,00 – 116,00 €/mq</t>
        </is>
      </c>
      <c r="F9" s="43" t="inlineStr">
        <is>
          <t>Non applicabile (venduto a mq edificabile)</t>
        </is>
      </c>
      <c r="G9" s="42" t="inlineStr">
        <is>
          <t>Demer Immobiliare / Idealista / Trovacasa Fiorenzuola</t>
        </is>
      </c>
      <c r="H9" s="42" t="inlineStr">
        <is>
          <t>Tenersi a &gt;300m dal perimetro del polo industriale del casello per comprare a prezzo agricolo.</t>
        </is>
      </c>
    </row>
    <row r="10" ht="34" customHeight="1">
      <c r="A10" s="41" t="inlineStr">
        <is>
          <t>Aree Logistiche e di Espansione Produttiva</t>
        </is>
      </c>
      <c r="B10" s="41" t="inlineStr">
        <is>
          <t>Castel San Giovanni (Polo Logistico A21)</t>
        </is>
      </c>
      <c r="C10" s="65" t="inlineStr">
        <is>
          <t>Da 7.000 mq a &gt;50.000 mq</t>
        </is>
      </c>
      <c r="D10" s="42" t="inlineStr">
        <is>
          <t>40 €/mq (grandi aree agricole di trasformazione) | 110 – 150 €/mq (polo consolidato)</t>
        </is>
      </c>
      <c r="E10" s="43" t="inlineStr">
        <is>
          <t>40,00 – 150,00 €/mq</t>
        </is>
      </c>
      <c r="F10" s="43" t="inlineStr">
        <is>
          <t>Non applicabile</t>
        </is>
      </c>
      <c r="G10" s="42" t="inlineStr">
        <is>
          <t>Casa.it / Idealista — Castel San Giovanni</t>
        </is>
      </c>
      <c r="H10" s="42" t="inlineStr">
        <is>
          <t>Sui 5 lotti di Castel San Giovanni verificare sempre prima il CDU per escludere ambiti logistici PUG.</t>
        </is>
      </c>
    </row>
    <row r="11" ht="34" customHeight="1">
      <c r="A11" s="37" t="inlineStr">
        <is>
          <t>Diritto di Superficie (DDS) Fotovoltaico</t>
        </is>
      </c>
      <c r="B11" s="37" t="inlineStr">
        <is>
          <t>Emilia-Romagna / Pianura Padana (Fascia Autostradale ≤300m)</t>
        </is>
      </c>
      <c r="C11" s="48" t="inlineStr">
        <is>
          <t>Impianti da 5 a 20 MWp (6 – 24 ha)</t>
        </is>
      </c>
      <c r="D11" s="38" t="inlineStr">
        <is>
          <t>Canone annuo: 2.500 – 3.500 €/ha/anno (fino a 3.800 €/ha/anno se &lt;1 km da CP)</t>
        </is>
      </c>
      <c r="E11" s="40" t="inlineStr">
        <is>
          <t>0,25 – 0,38 €/mq/anno (7,50-11,40 €/mq in 30 anni)</t>
        </is>
      </c>
      <c r="F11" s="40" t="inlineStr">
        <is>
          <t>190 – 290 €/pertica/anno (Target SunPro: 229 €/pertica/anno)</t>
        </is>
      </c>
      <c r="G11" s="38" t="inlineStr">
        <is>
          <t>Sunprime / Solare Industriale / Nibo Green / Operatori Utility-Scale</t>
        </is>
      </c>
      <c r="H11" s="38" t="inlineStr">
        <is>
          <t>Formula esente da Prelazione Agraria dei confinanti CD/IAP (art. 952 c.c.).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2026-10-28T10:23:19Z</dcterms:created>
  <dcterms:modified xsi:type="dcterms:W3CDTF">2026-10-28T10:23:19Z</dcterms:modified>
</cp:coreProperties>
</file>