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reni" sheetId="1" state="visible" r:id="rId3"/>
    <sheet name="Riserve" sheetId="2" state="visible" r:id="rId4"/>
    <sheet name="Metodo e fonti" sheetId="3" state="visible" r:id="rId5"/>
  </sheets>
  <definedNames>
    <definedName function="false" hidden="true" localSheetId="1" name="_xlnm._FilterDatabase" vbProcedure="false">Riserve!$A$5:$W$46</definedName>
    <definedName function="false" hidden="true" localSheetId="0" name="_xlnm._FilterDatabase" vbProcedure="false">Terreni!$A$5:$V$55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Soglia indicata da Corrado. Modificabile: aggiorna la spesa massima e il controllo.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Soglia indicata da Corrado. Modificabile: aggiorna la spesa massima e il controllo.</t>
        </r>
      </text>
    </comment>
  </commentList>
</comments>
</file>

<file path=xl/sharedStrings.xml><?xml version="1.0" encoding="utf-8"?>
<sst xmlns="http://schemas.openxmlformats.org/spreadsheetml/2006/main" count="908" uniqueCount="261">
  <si>
    <t xml:space="preserve">50 terreni lungo A1 e A21 nel Piacentino</t>
  </si>
  <si>
    <t xml:space="preserve">Criteri: particelle agricole di almeno 2 ha entro i 300 m dall'asse di A1 o A21 (provincia di Piacenza), senza fabbricati, fuori da aree che OpenStreetMap classifica produttive, cave o discariche. Dati letti sulla cartografia catastale dell'Agenzia delle Entrate il 21/10/2026.</t>
  </si>
  <si>
    <t xml:space="preserve">Prezzo massimo (€/mq)</t>
  </si>
  <si>
    <t xml:space="preserve">#</t>
  </si>
  <si>
    <t xml:space="preserve">Comune</t>
  </si>
  <si>
    <t xml:space="preserve">Belfiore</t>
  </si>
  <si>
    <t xml:space="preserve">Foglio</t>
  </si>
  <si>
    <t xml:space="preserve">Particella</t>
  </si>
  <si>
    <t xml:space="preserve">Sup. stimata (ha)</t>
  </si>
  <si>
    <t xml:space="preserve">di cui entro 300 m (ha)</t>
  </si>
  <si>
    <t xml:space="preserve">Autostrada</t>
  </si>
  <si>
    <t xml:space="preserve">Distanza min. dall'asse (m)</t>
  </si>
  <si>
    <t xml:space="preserve">Linea AT più vicina (m)</t>
  </si>
  <si>
    <t xml:space="preserve">Tensione linea (kV)</t>
  </si>
  <si>
    <t xml:space="preserve">Stazione elettrica più vicina</t>
  </si>
  <si>
    <t xml:space="preserve">kV stazione</t>
  </si>
  <si>
    <t xml:space="preserve">Distanza stazione (km)</t>
  </si>
  <si>
    <t xml:space="preserve">Lat</t>
  </si>
  <si>
    <t xml:space="preserve">Lon</t>
  </si>
  <si>
    <t xml:space="preserve">Mappa</t>
  </si>
  <si>
    <t xml:space="preserve">Spesa max a soglia (€)</t>
  </si>
  <si>
    <t xml:space="preserve">Note</t>
  </si>
  <si>
    <t xml:space="preserve">Intestatario (da visura)</t>
  </si>
  <si>
    <t xml:space="preserve">Prezzo richiesto (€/mq)</t>
  </si>
  <si>
    <t xml:space="preserve">Entro soglia?</t>
  </si>
  <si>
    <t xml:space="preserve">Rottofreno</t>
  </si>
  <si>
    <t xml:space="preserve">H593</t>
  </si>
  <si>
    <t xml:space="preserve">13</t>
  </si>
  <si>
    <t xml:space="preserve">31</t>
  </si>
  <si>
    <t xml:space="preserve">A21</t>
  </si>
  <si>
    <t xml:space="preserve">132</t>
  </si>
  <si>
    <t xml:space="preserve">8,5 ha oltre i 300 m</t>
  </si>
  <si>
    <t xml:space="preserve">Caorso</t>
  </si>
  <si>
    <t xml:space="preserve">B643</t>
  </si>
  <si>
    <t xml:space="preserve">19</t>
  </si>
  <si>
    <t xml:space="preserve">22</t>
  </si>
  <si>
    <t xml:space="preserve">380</t>
  </si>
  <si>
    <t xml:space="preserve">Area produttiva a ~372 m: verificare la destinazione urbanistica</t>
  </si>
  <si>
    <t xml:space="preserve">15</t>
  </si>
  <si>
    <t xml:space="preserve">82</t>
  </si>
  <si>
    <t xml:space="preserve">Stazione elettrica Rottofreno a ~1,4 km; 1,9 ha oltre i 300 m</t>
  </si>
  <si>
    <t xml:space="preserve">20</t>
  </si>
  <si>
    <t xml:space="preserve">213</t>
  </si>
  <si>
    <t xml:space="preserve">4,2 ha oltre i 300 m</t>
  </si>
  <si>
    <t xml:space="preserve">San Pietro in Cerro</t>
  </si>
  <si>
    <t xml:space="preserve">G788</t>
  </si>
  <si>
    <t xml:space="preserve">2</t>
  </si>
  <si>
    <t xml:space="preserve">1</t>
  </si>
  <si>
    <t xml:space="preserve">Monticelli FS</t>
  </si>
  <si>
    <t xml:space="preserve">Linea AT 132 kV a ~49 m; Stazione elettrica Monticelli FS a ~0,2 km</t>
  </si>
  <si>
    <t xml:space="preserve">415</t>
  </si>
  <si>
    <t xml:space="preserve">Edison Sarmato G1</t>
  </si>
  <si>
    <t xml:space="preserve">220</t>
  </si>
  <si>
    <t xml:space="preserve">2,1 ha oltre i 300 m</t>
  </si>
  <si>
    <t xml:space="preserve">55</t>
  </si>
  <si>
    <t xml:space="preserve">Area residenziale a ~334 m: verificare la destinazione urbanistica; 4,0 ha oltre i 300 m</t>
  </si>
  <si>
    <t xml:space="preserve">Calendasco</t>
  </si>
  <si>
    <t xml:space="preserve">B405</t>
  </si>
  <si>
    <t xml:space="preserve">79</t>
  </si>
  <si>
    <t xml:space="preserve">(senza nome)</t>
  </si>
  <si>
    <t xml:space="preserve">Linea AT 132 kV a ~192 m; Stazione elettrica a ~1,3 km; 4,7 ha oltre i 300 m</t>
  </si>
  <si>
    <t xml:space="preserve">18</t>
  </si>
  <si>
    <t xml:space="preserve">187</t>
  </si>
  <si>
    <t xml:space="preserve">Linea AT 132 kV a ~55 m; Area produttiva a ~350 m: verificare la destinazione urbanistica; 5,2 ha oltre i 300 m</t>
  </si>
  <si>
    <t xml:space="preserve">16</t>
  </si>
  <si>
    <t xml:space="preserve">Linea AT 132 kV a ~110 m; Stazione elettrica a ~1,1 km; 1,6 ha oltre i 300 m</t>
  </si>
  <si>
    <t xml:space="preserve">Castelvetro Piacentino</t>
  </si>
  <si>
    <t xml:space="preserve">C288</t>
  </si>
  <si>
    <t xml:space="preserve">24</t>
  </si>
  <si>
    <t xml:space="preserve">Monticelli Ferrovia</t>
  </si>
  <si>
    <t xml:space="preserve">3,9 ha oltre i 300 m</t>
  </si>
  <si>
    <t xml:space="preserve">3</t>
  </si>
  <si>
    <t xml:space="preserve">Linea AT 380 kV a ~108 m; Stazione elettrica Monticelli Ferrovia a ~1,1 km; 3,3 ha oltre i 300 m</t>
  </si>
  <si>
    <t xml:space="preserve">Stazione elettrica Monticelli Ferrovia a ~0,9 km; 3,0 ha oltre i 300 m</t>
  </si>
  <si>
    <t xml:space="preserve">Cadeo</t>
  </si>
  <si>
    <t xml:space="preserve">B332</t>
  </si>
  <si>
    <t xml:space="preserve">21</t>
  </si>
  <si>
    <t xml:space="preserve">6</t>
  </si>
  <si>
    <t xml:space="preserve">A1</t>
  </si>
  <si>
    <t xml:space="preserve">Fiorenzuola AV</t>
  </si>
  <si>
    <t xml:space="preserve">Stazione elettrica Fiorenzuola AV a ~1,1 km; 2,6 ha oltre i 300 m</t>
  </si>
  <si>
    <t xml:space="preserve">Monticelli d'Ongina</t>
  </si>
  <si>
    <t xml:space="preserve">F671</t>
  </si>
  <si>
    <t xml:space="preserve">32</t>
  </si>
  <si>
    <t xml:space="preserve">9</t>
  </si>
  <si>
    <t xml:space="preserve">Linea AT 380 kV a ~62 m; Area cantiere a ~348 m: verificare la destinazione urbanistica; 2,7 ha oltre i 300 m</t>
  </si>
  <si>
    <t xml:space="preserve">Piacenza</t>
  </si>
  <si>
    <t xml:space="preserve">G535</t>
  </si>
  <si>
    <t xml:space="preserve">88</t>
  </si>
  <si>
    <t xml:space="preserve">42</t>
  </si>
  <si>
    <t xml:space="preserve">Stazione elettrica a ~0,3 km; 0,9 ha oltre i 300 m</t>
  </si>
  <si>
    <t xml:space="preserve">14</t>
  </si>
  <si>
    <t xml:space="preserve">678</t>
  </si>
  <si>
    <t xml:space="preserve">Tecnoborgo sezionamento</t>
  </si>
  <si>
    <t xml:space="preserve">Linea AT 132 kV sul fondo o al confine: condiziona il layout, ma la rete è vicina; Stazione elettrica Tecnoborgo sezionamento a ~0,8 km</t>
  </si>
  <si>
    <t xml:space="preserve">473</t>
  </si>
  <si>
    <t xml:space="preserve">Linea AT 132 kV a ~243 m; Stazione elettrica a ~1,2 km; Area produttiva a ~340 m: verificare la destinazione urbanistica; 0,6 ha oltre i 300 m</t>
  </si>
  <si>
    <t xml:space="preserve">719</t>
  </si>
  <si>
    <t xml:space="preserve">Linea AT 132 kV a ~148 m; Stazione elettrica Fiorenzuola AV a ~0,6 km</t>
  </si>
  <si>
    <t xml:space="preserve">23</t>
  </si>
  <si>
    <t xml:space="preserve">Area commerciale a ~258 m: verificare la destinazione urbanistica; 0,7 ha oltre i 300 m</t>
  </si>
  <si>
    <t xml:space="preserve">108</t>
  </si>
  <si>
    <t xml:space="preserve">30</t>
  </si>
  <si>
    <t xml:space="preserve">33</t>
  </si>
  <si>
    <t xml:space="preserve">Linea AT 380 kV a ~160 m; Stazione elettrica Monticelli Ferrovia a ~0,4 km</t>
  </si>
  <si>
    <t xml:space="preserve">29</t>
  </si>
  <si>
    <t xml:space="preserve">40</t>
  </si>
  <si>
    <t xml:space="preserve">2,6 ha oltre i 300 m</t>
  </si>
  <si>
    <t xml:space="preserve">Castel San Giovanni</t>
  </si>
  <si>
    <t xml:space="preserve">C261</t>
  </si>
  <si>
    <t xml:space="preserve">8</t>
  </si>
  <si>
    <t xml:space="preserve">4</t>
  </si>
  <si>
    <t xml:space="preserve">La Casella centrale</t>
  </si>
  <si>
    <t xml:space="preserve">Linea AT 132 kV sul fondo o al confine: condiziona il layout, ma la rete è vicina; Area residenziale a ~314 m: verificare la destinazione urbanistica</t>
  </si>
  <si>
    <t xml:space="preserve">Pontenure</t>
  </si>
  <si>
    <t xml:space="preserve">G852</t>
  </si>
  <si>
    <t xml:space="preserve">199</t>
  </si>
  <si>
    <t xml:space="preserve">Cadeo FS</t>
  </si>
  <si>
    <t xml:space="preserve">Linea AT 132 kV a ~128 m; 1,7 ha oltre i 300 m</t>
  </si>
  <si>
    <t xml:space="preserve">146</t>
  </si>
  <si>
    <t xml:space="preserve">Linea AT 380 kV a ~115 m; 1,8 ha oltre i 300 m</t>
  </si>
  <si>
    <t xml:space="preserve">4,5 ha oltre i 300 m</t>
  </si>
  <si>
    <t xml:space="preserve">37</t>
  </si>
  <si>
    <t xml:space="preserve">1,0 ha oltre i 300 m</t>
  </si>
  <si>
    <t xml:space="preserve">100</t>
  </si>
  <si>
    <t xml:space="preserve">Area produttiva a ~354 m: verificare la destinazione urbanistica</t>
  </si>
  <si>
    <t xml:space="preserve">142</t>
  </si>
  <si>
    <t xml:space="preserve">25</t>
  </si>
  <si>
    <t xml:space="preserve">Linea AT 132 kV a ~176 m</t>
  </si>
  <si>
    <t xml:space="preserve">Linea AT 132 kV a ~226 m; Stazione elettrica Cadeo FS a ~1,5 km</t>
  </si>
  <si>
    <t xml:space="preserve">69</t>
  </si>
  <si>
    <t xml:space="preserve">204</t>
  </si>
  <si>
    <t xml:space="preserve">Linea AT 132 kV a ~78 m; 2,8 ha oltre i 300 m</t>
  </si>
  <si>
    <t xml:space="preserve">12</t>
  </si>
  <si>
    <t xml:space="preserve">580</t>
  </si>
  <si>
    <t xml:space="preserve">Linea AT 132 kV a ~127 m; Area dismessa a ~254 m: verificare la destinazione urbanistica; 0,8 ha oltre i 300 m</t>
  </si>
  <si>
    <t xml:space="preserve">Area produttiva a ~347 m: verificare la destinazione urbanistica</t>
  </si>
  <si>
    <t xml:space="preserve">242</t>
  </si>
  <si>
    <t xml:space="preserve">Linea AT 132 kV a ~278 m; 5,7 ha oltre i 300 m</t>
  </si>
  <si>
    <t xml:space="preserve">Linea AT 132 kV a ~150 m; 0,9 ha oltre i 300 m</t>
  </si>
  <si>
    <t xml:space="preserve">75</t>
  </si>
  <si>
    <t xml:space="preserve">240</t>
  </si>
  <si>
    <t xml:space="preserve">Linea AT 380 kV sul fondo o al confine: condiziona il layout, ma la rete è vicina</t>
  </si>
  <si>
    <t xml:space="preserve">Fiorenzuola d'Arda</t>
  </si>
  <si>
    <t xml:space="preserve">D611</t>
  </si>
  <si>
    <t xml:space="preserve">28</t>
  </si>
  <si>
    <t xml:space="preserve">Fiorenzuola</t>
  </si>
  <si>
    <t xml:space="preserve">182</t>
  </si>
  <si>
    <t xml:space="preserve">Linea AT 380 kV a ~64 m; Stazione elettrica Cadeo FS a ~1,4 km</t>
  </si>
  <si>
    <t xml:space="preserve">Stazione elettrica Monticelli FS a ~0,6 km</t>
  </si>
  <si>
    <t xml:space="preserve">34</t>
  </si>
  <si>
    <t xml:space="preserve">Linea AT 132 kV a ~200 m</t>
  </si>
  <si>
    <t xml:space="preserve">279</t>
  </si>
  <si>
    <t xml:space="preserve">Area produttiva a ~340 m: verificare la destinazione urbanistica</t>
  </si>
  <si>
    <t xml:space="preserve">693</t>
  </si>
  <si>
    <t xml:space="preserve">Linea AT 380 kV a ~83 m; Stazione elettrica Tecnoborgo sezionamento a ~0,7 km; Area produttiva a ~368 m: verificare la destinazione urbanistica</t>
  </si>
  <si>
    <t xml:space="preserve">72</t>
  </si>
  <si>
    <t xml:space="preserve">Stazione elettrica Fiorenzuola AV a ~0,6 km</t>
  </si>
  <si>
    <t xml:space="preserve">Sarmato</t>
  </si>
  <si>
    <t xml:space="preserve">I434</t>
  </si>
  <si>
    <t xml:space="preserve">10</t>
  </si>
  <si>
    <t xml:space="preserve">1041</t>
  </si>
  <si>
    <t xml:space="preserve">Sarmato FS</t>
  </si>
  <si>
    <t xml:space="preserve">Stazione elettrica Sarmato FS a ~0,9 km</t>
  </si>
  <si>
    <t xml:space="preserve">80</t>
  </si>
  <si>
    <t xml:space="preserve">Cortemaggiore</t>
  </si>
  <si>
    <t xml:space="preserve">Totale</t>
  </si>
  <si>
    <t xml:space="preserve">Legenda: celle gialle da compilare (soglia di prezzo, intestatario dalla visura, prezzo richiesto); testo blu = valore inserito a mano; il resto è calcolato.</t>
  </si>
  <si>
    <t xml:space="preserve">Comune, foglio e particella sono quelli restituiti dal servizio cartografico dell'Agenzia delle Entrate per un punto interno al fondo: confermarli in visura.</t>
  </si>
  <si>
    <t xml:space="preserve">Superfici stimate dal disegno catastale (margine ~10%): quella ufficiale è in visura. 'Spesa max' = intera particella × soglia.</t>
  </si>
  <si>
    <t xml:space="preserve">Linee AT e stazioni elettriche da OpenStreetMap: indicative, non sostituiscono la verifica di capacità di rete (Terna/e-distribuzione).</t>
  </si>
  <si>
    <t xml:space="preserve">Riserve: altri lotti compatibili e lotti periurbani</t>
  </si>
  <si>
    <t xml:space="preserve">Categoria</t>
  </si>
  <si>
    <t xml:space="preserve">Aperta campagna (oltre i primi 50)</t>
  </si>
  <si>
    <t xml:space="preserve">7</t>
  </si>
  <si>
    <t xml:space="preserve">Linea AT 132 kV a ~68 m</t>
  </si>
  <si>
    <t xml:space="preserve">Linea AT 132 kV sul fondo o al confine: condiziona il layout, ma la rete è vicina; 0,6 ha oltre i 300 m</t>
  </si>
  <si>
    <t xml:space="preserve">263</t>
  </si>
  <si>
    <t xml:space="preserve">Linea AT 132 kV sul fondo o al confine: condiziona il layout, ma la rete è vicina</t>
  </si>
  <si>
    <t xml:space="preserve">Linea AT 380 kV sul fondo o al confine: condiziona il layout, ma la rete è vicina; Stazione elettrica Monticelli Ferrovia a ~1,4 km; 0,6 ha oltre i 300 m</t>
  </si>
  <si>
    <t xml:space="preserve">907</t>
  </si>
  <si>
    <t xml:space="preserve">Area produttiva a ~319 m: verificare la destinazione urbanistica; 0,8 ha oltre i 300 m</t>
  </si>
  <si>
    <t xml:space="preserve">Area cantiere a ~341 m: verificare la destinazione urbanistica; 0,8 ha oltre i 300 m</t>
  </si>
  <si>
    <t xml:space="preserve">0,5 ha oltre i 300 m</t>
  </si>
  <si>
    <t xml:space="preserve">Stazione elettrica Monticelli Ferrovia a ~1,2 km</t>
  </si>
  <si>
    <t xml:space="preserve">Stazione elettrica Sarmato FS a ~1,1 km</t>
  </si>
  <si>
    <t xml:space="preserve">66</t>
  </si>
  <si>
    <t xml:space="preserve">67</t>
  </si>
  <si>
    <t xml:space="preserve">228</t>
  </si>
  <si>
    <t xml:space="preserve">Linea AT 132 kV a ~293 m</t>
  </si>
  <si>
    <t xml:space="preserve">Alseno</t>
  </si>
  <si>
    <t xml:space="preserve">A223</t>
  </si>
  <si>
    <t xml:space="preserve">256</t>
  </si>
  <si>
    <t xml:space="preserve">257</t>
  </si>
  <si>
    <t xml:space="preserve">Linea AT 132 kV a ~75 m</t>
  </si>
  <si>
    <t xml:space="preserve">226</t>
  </si>
  <si>
    <t xml:space="preserve">Linea AT 132 kV a ~48 m</t>
  </si>
  <si>
    <t xml:space="preserve">Periurbano: possibile prezzo sopra soglia</t>
  </si>
  <si>
    <t xml:space="preserve">26</t>
  </si>
  <si>
    <t xml:space="preserve">232</t>
  </si>
  <si>
    <t xml:space="preserve">Linea AT 132 kV a ~73 m; Area residenziale a ~375 m: verificare la destinazione urbanistica; 2,6 ha oltre i 300 m</t>
  </si>
  <si>
    <t xml:space="preserve">982</t>
  </si>
  <si>
    <t xml:space="preserve">Tecnoborgo</t>
  </si>
  <si>
    <t xml:space="preserve">Linea AT 380 kV a ~155 m; Stazione elettrica Tecnoborgo a ~0,5 km; Area produttiva a ~226 m: verificare la destinazione urbanistica; 1,4 ha oltre i 300 m</t>
  </si>
  <si>
    <t xml:space="preserve">Linea AT 132 kV a ~202 m; Area produttiva a ~247 m: verificare la destinazione urbanistica</t>
  </si>
  <si>
    <t xml:space="preserve">109</t>
  </si>
  <si>
    <t xml:space="preserve">Area produttiva a ~6 m: verificare la destinazione urbanistica</t>
  </si>
  <si>
    <t xml:space="preserve">Area produttiva a ~221 m: verificare la destinazione urbanistica; 5,0 ha oltre i 300 m</t>
  </si>
  <si>
    <t xml:space="preserve">27</t>
  </si>
  <si>
    <t xml:space="preserve">1108</t>
  </si>
  <si>
    <t xml:space="preserve">Linea AT 132 kV sul fondo o al confine: condiziona il layout, ma la rete è vicina; 1,6 ha oltre i 300 m</t>
  </si>
  <si>
    <t xml:space="preserve">Linea AT 380 kV a ~237 m; Area cantiere a ~140 m: verificare la destinazione urbanistica</t>
  </si>
  <si>
    <t xml:space="preserve">Linea AT 132 kV sul fondo o al confine: condiziona il layout, ma la rete è vicina; Stazione elettrica Monticelli Ferrovia a ~0,7 km; Area produttiva a ~230 m: verificare la destinazione urbanistica; 3,5 ha oltre i 300 m</t>
  </si>
  <si>
    <t xml:space="preserve">76</t>
  </si>
  <si>
    <t xml:space="preserve">Linea AT 132 kV a ~153 m; Stazione elettrica a ~0,7 km; Area residenziale a ~212 m: verificare la destinazione urbanistica</t>
  </si>
  <si>
    <t xml:space="preserve">Linea AT 132 kV a ~97 m; Area residenziale a ~246 m: verificare la destinazione urbanistica</t>
  </si>
  <si>
    <t xml:space="preserve">Area produttiva a ~119 m: verificare la destinazione urbanistica</t>
  </si>
  <si>
    <t xml:space="preserve">365</t>
  </si>
  <si>
    <t xml:space="preserve">Area produttiva a ~158 m: verificare la destinazione urbanistica</t>
  </si>
  <si>
    <t xml:space="preserve">99</t>
  </si>
  <si>
    <t xml:space="preserve">Linea AT 380 kV a ~264 m; Area commerciale a ~179 m: verificare la destinazione urbanistica</t>
  </si>
  <si>
    <t xml:space="preserve">38</t>
  </si>
  <si>
    <t xml:space="preserve">1400</t>
  </si>
  <si>
    <t xml:space="preserve">Stazione elettrica a ~0,6 km; Area produttiva a ~181 m: verificare la destinazione urbanistica</t>
  </si>
  <si>
    <t xml:space="preserve">17</t>
  </si>
  <si>
    <t xml:space="preserve">Linea AT 132 kV a ~71 m; Area residenziale a ~169 m: verificare la destinazione urbanistica; 3,6 ha oltre i 300 m</t>
  </si>
  <si>
    <t xml:space="preserve">Linea AT 132 kV sul fondo o al confine: condiziona il layout, ma la rete è vicina; 1,7 ha oltre i 300 m</t>
  </si>
  <si>
    <t xml:space="preserve">5</t>
  </si>
  <si>
    <t xml:space="preserve">Area cantiere a ~127 m: verificare la destinazione urbanistica</t>
  </si>
  <si>
    <t xml:space="preserve">46</t>
  </si>
  <si>
    <t xml:space="preserve">Stazione elettrica Fiorenzuola AV a ~0,7 km; Area produttiva a ~153 m: verificare la destinazione urbanistica</t>
  </si>
  <si>
    <t xml:space="preserve">39</t>
  </si>
  <si>
    <t xml:space="preserve">Linea AT 132 kV a ~182 m; Area residenziale a ~120 m: verificare la destinazione urbanistica; 5,1 ha oltre i 300 m</t>
  </si>
  <si>
    <t xml:space="preserve">Stazione elettrica Fiorenzuola AV a ~1,2 km; Area produttiva a ~241 m: verificare la destinazione urbanistica; 0,7 ha oltre i 300 m</t>
  </si>
  <si>
    <t xml:space="preserve">139</t>
  </si>
  <si>
    <t xml:space="preserve">Linea AT 132 kV a ~88 m; Stazione elettrica Fiorenzuola AV a ~0,6 km; Area produttiva a ~120 m: verificare la destinazione urbanistica</t>
  </si>
  <si>
    <t xml:space="preserve">1088</t>
  </si>
  <si>
    <t xml:space="preserve">Linea AT 132 kV a ~54 m</t>
  </si>
  <si>
    <t xml:space="preserve">3066</t>
  </si>
  <si>
    <t xml:space="preserve">Piacenza Ovest</t>
  </si>
  <si>
    <t xml:space="preserve">Linea AT 132 kV a ~56 m; Stazione elettrica Piacenza Ovest a ~0,9 km; Area produttiva a ~4 m: verificare la destinazione urbanistica</t>
  </si>
  <si>
    <t xml:space="preserve">Linea AT 132 kV sul fondo o al confine: condiziona il layout, ma la rete è vicina; Stazione elettrica a ~0,7 km; Area produttiva a ~137 m: verificare la destinazione urbanistica</t>
  </si>
  <si>
    <t xml:space="preserve">194</t>
  </si>
  <si>
    <t xml:space="preserve">Linea AT 132 kV a ~75 m; Stazione elettrica Piacenza Ovest a ~0,8 km; Area produttiva a ~137 m: verificare la destinazione urbanistica</t>
  </si>
  <si>
    <t xml:space="preserve">Metodo</t>
  </si>
  <si>
    <t xml:space="preserve">1. Asse di A1 e A21 ricavato da OpenStreetMap; scansione di 68 riquadri da 1,2 km lungo i tracciati in provincia di Piacenza (A1 fino al confine con Parma, A21 fino al Po).</t>
  </si>
  <si>
    <t xml:space="preserve">2. Particelle dalla cartografia catastale WMS dell'Agenzia delle Entrate: superficie misurata sul disegno (1 m per pixel); scartate quelle sotto i 2 ha entro la fascia, quelle con fabbricati, le strisce sottili (scarpate, fossi, sedimi stradali) e quelle attraversate dall'asse.</t>
  </si>
  <si>
    <t xml:space="preserve">3. Comune, foglio e particella letti con un'interrogazione puntuale al servizio dell'Agenzia, un lotto ogni 2,5 secondi.</t>
  </si>
  <si>
    <t xml:space="preserve">4. Esclusi i lotti che OpenStreetMap classifica come area industriale (3) o discarica (1) e quelli in Lombardia (San Rocco al Porto).</t>
  </si>
  <si>
    <t xml:space="preserve">5. Sono 'periurbani' i lotti entro 250 m da aree produttive, commerciali o residenziali e quelli nel polo logistico di Le Mose: lì la destinazione urbanistica e il prezzo sono a rischio, quindi stanno nelle riserve.</t>
  </si>
  <si>
    <t xml:space="preserve">6. Controllo a vista sull'ortofoto di cinque lotti presi qua e là: tutti seminativi aperti a ridosso dell'autostrada.</t>
  </si>
  <si>
    <t xml:space="preserve">Limiti</t>
  </si>
  <si>
    <t xml:space="preserve">La scansione non è esaustiva: una particella molto lunga in direzione della strada può essere tagliata dal bordo di entrambi i riquadri e sfuggire (è il caso dei lotti del test di Pontenure-Cadeo, che restano validi e non sono ripetuti qui).</t>
  </si>
  <si>
    <t xml:space="preserve">Il catasto non dà proprietari né prezzi: intestatari e diritti dalla visura, prezzo dalla trattativa.</t>
  </si>
  <si>
    <t xml:space="preserve">Da verificare prima del contatto: destinazione urbanistica (PUG/PSC), vincoli paesaggistici (fasce fluviali, beni tutelati), colture certificate (L.R. Emilia-Romagna 5/2026: su biologico, SQNPI, DOP/IGP solo agrivoltaico), capacità di rete e punto di connessione.</t>
  </si>
  <si>
    <t xml:space="preserve">VAM 2026 provincia di Piacenza, seminativo irriguo: 54.500-58.500 €/ha (5,45-5,85 €/mq) secondo la regione agraria; sono valori amministrativi, non di mercato.</t>
  </si>
  <si>
    <t xml:space="preserve">Fonti</t>
  </si>
  <si>
    <t xml:space="preserve">Cartografia catastale: wms.cartografia.agenziaentrate.gov.it (servizio WMS INSPIRE, strati CP.CadastralParcel e fabbricati)</t>
  </si>
  <si>
    <t xml:space="preserve">Asse autostradale, uso del suolo, linee AT e stazioni elettriche: OpenStreetMap (overpass-api.de); nomi dei comuni: nominatim.openstreetmap.org</t>
  </si>
  <si>
    <t xml:space="preserve">Ortofoto per il controllo a vista: Esri World Imagery</t>
  </si>
  <si>
    <t xml:space="preserve">VAM 2026: BUR Emilia-Romagna n. 75 del 2/4/2026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</si>
</sst>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.000000"/>
    <numFmt numFmtId="168" formatCode="#,##0&quot; €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sz val="10"/>
      <name val="Arial"/>
      <family val="2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7" min="5" style="0" width="9"/>
    <col collapsed="false" customWidth="true" hidden="false" outlineLevel="0" max="8" min="8" style="0" width="8"/>
    <col collapsed="false" customWidth="true" hidden="false" outlineLevel="0" max="10" min="9" style="0" width="9"/>
    <col collapsed="false" customWidth="true" hidden="false" outlineLevel="0" max="11" min="11" style="0" width="8"/>
    <col collapsed="false" customWidth="true" hidden="false" outlineLevel="0" max="12" min="12" style="0" width="20"/>
    <col collapsed="false" customWidth="true" hidden="false" outlineLevel="0" max="13" min="13" style="0" width="7"/>
    <col collapsed="false" customWidth="true" hidden="false" outlineLevel="0" max="14" min="14" style="0" width="9"/>
    <col collapsed="false" customWidth="true" hidden="false" outlineLevel="0" max="16" min="15" style="0" width="10"/>
    <col collapsed="false" customWidth="true" hidden="false" outlineLevel="0" max="17" min="17" style="0" width="6"/>
    <col collapsed="false" customWidth="true" hidden="false" outlineLevel="0" max="18" min="18" style="0" width="13"/>
    <col collapsed="false" customWidth="true" hidden="false" outlineLevel="0" max="19" min="19" style="0" width="60"/>
    <col collapsed="false" customWidth="true" hidden="false" outlineLevel="0" max="20" min="20" style="0" width="22"/>
    <col collapsed="false" customWidth="true" hidden="false" outlineLevel="0" max="21" min="21" style="0" width="10"/>
    <col collapsed="false" customWidth="true" hidden="false" outlineLevel="0" max="22" min="22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D3" s="4" t="n">
        <v>8</v>
      </c>
    </row>
    <row r="5" customFormat="false" ht="51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</row>
    <row r="6" customFormat="false" ht="15" hidden="false" customHeight="false" outlineLevel="0" collapsed="false">
      <c r="A6" s="6" t="n">
        <v>1</v>
      </c>
      <c r="B6" s="6" t="s">
        <v>25</v>
      </c>
      <c r="C6" s="6" t="s">
        <v>26</v>
      </c>
      <c r="D6" s="6" t="s">
        <v>27</v>
      </c>
      <c r="E6" s="6" t="s">
        <v>28</v>
      </c>
      <c r="F6" s="7" t="n">
        <v>24.03</v>
      </c>
      <c r="G6" s="7" t="n">
        <v>15.52</v>
      </c>
      <c r="H6" s="6" t="s">
        <v>29</v>
      </c>
      <c r="I6" s="6" t="n">
        <v>12</v>
      </c>
      <c r="J6" s="6" t="n">
        <v>1500</v>
      </c>
      <c r="K6" s="6" t="s">
        <v>30</v>
      </c>
      <c r="L6" s="8" t="s">
        <v>25</v>
      </c>
      <c r="M6" s="6" t="s">
        <v>30</v>
      </c>
      <c r="N6" s="9" t="n">
        <v>2</v>
      </c>
      <c r="O6" s="10" t="n">
        <v>45.067204</v>
      </c>
      <c r="P6" s="10" t="n">
        <v>9.559271</v>
      </c>
      <c r="Q6" s="11" t="str">
        <f aca="false">HYPERLINK("https://www.google.com/maps?q=45.067204,9.559271&amp;t=k","Apri")</f>
        <v>Apri</v>
      </c>
      <c r="R6" s="12" t="n">
        <f aca="false">F6*10000*$D$3</f>
        <v>1922400</v>
      </c>
      <c r="S6" s="8" t="s">
        <v>31</v>
      </c>
      <c r="T6" s="13"/>
      <c r="U6" s="14"/>
      <c r="V6" s="6" t="str">
        <f aca="false">IF(U6="","",IF(U6&lt;=$D$3,"Sì","No"))</f>
        <v/>
      </c>
    </row>
    <row r="7" customFormat="false" ht="15" hidden="false" customHeight="false" outlineLevel="0" collapsed="false">
      <c r="A7" s="6" t="n">
        <v>2</v>
      </c>
      <c r="B7" s="6" t="s">
        <v>32</v>
      </c>
      <c r="C7" s="6" t="s">
        <v>33</v>
      </c>
      <c r="D7" s="6" t="s">
        <v>34</v>
      </c>
      <c r="E7" s="6" t="s">
        <v>35</v>
      </c>
      <c r="F7" s="7" t="n">
        <v>11.84</v>
      </c>
      <c r="G7" s="7" t="n">
        <v>11.84</v>
      </c>
      <c r="H7" s="6" t="s">
        <v>29</v>
      </c>
      <c r="I7" s="6" t="n">
        <v>10</v>
      </c>
      <c r="J7" s="6" t="n">
        <v>1263</v>
      </c>
      <c r="K7" s="6" t="s">
        <v>30</v>
      </c>
      <c r="L7" s="8" t="s">
        <v>32</v>
      </c>
      <c r="M7" s="6" t="s">
        <v>36</v>
      </c>
      <c r="N7" s="9" t="n">
        <v>3.5</v>
      </c>
      <c r="O7" s="10" t="n">
        <v>45.04464</v>
      </c>
      <c r="P7" s="10" t="n">
        <v>9.843602</v>
      </c>
      <c r="Q7" s="11" t="str">
        <f aca="false">HYPERLINK("https://www.google.com/maps?q=45.04464,9.843602&amp;t=k","Apri")</f>
        <v>Apri</v>
      </c>
      <c r="R7" s="12" t="n">
        <f aca="false">F7*10000*$D$3</f>
        <v>947200</v>
      </c>
      <c r="S7" s="8" t="s">
        <v>37</v>
      </c>
      <c r="T7" s="13"/>
      <c r="U7" s="14"/>
      <c r="V7" s="6" t="str">
        <f aca="false">IF(U7="","",IF(U7&lt;=$D$3,"Sì","No"))</f>
        <v/>
      </c>
    </row>
    <row r="8" customFormat="false" ht="15" hidden="false" customHeight="false" outlineLevel="0" collapsed="false">
      <c r="A8" s="6" t="n">
        <v>3</v>
      </c>
      <c r="B8" s="6" t="s">
        <v>25</v>
      </c>
      <c r="C8" s="6" t="s">
        <v>26</v>
      </c>
      <c r="D8" s="6" t="s">
        <v>38</v>
      </c>
      <c r="E8" s="6" t="s">
        <v>39</v>
      </c>
      <c r="F8" s="7" t="n">
        <v>10.67</v>
      </c>
      <c r="G8" s="7" t="n">
        <v>8.74</v>
      </c>
      <c r="H8" s="6" t="s">
        <v>29</v>
      </c>
      <c r="I8" s="6" t="n">
        <v>11</v>
      </c>
      <c r="J8" s="6" t="n">
        <v>1276</v>
      </c>
      <c r="K8" s="6" t="s">
        <v>30</v>
      </c>
      <c r="L8" s="8" t="s">
        <v>25</v>
      </c>
      <c r="M8" s="6" t="s">
        <v>30</v>
      </c>
      <c r="N8" s="9" t="n">
        <v>1.4</v>
      </c>
      <c r="O8" s="10" t="n">
        <v>45.066237</v>
      </c>
      <c r="P8" s="10" t="n">
        <v>9.579211</v>
      </c>
      <c r="Q8" s="11" t="str">
        <f aca="false">HYPERLINK("https://www.google.com/maps?q=45.066237,9.579211&amp;t=k","Apri")</f>
        <v>Apri</v>
      </c>
      <c r="R8" s="12" t="n">
        <f aca="false">F8*10000*$D$3</f>
        <v>853600</v>
      </c>
      <c r="S8" s="8" t="s">
        <v>40</v>
      </c>
      <c r="T8" s="13"/>
      <c r="U8" s="14"/>
      <c r="V8" s="6" t="str">
        <f aca="false">IF(U8="","",IF(U8&lt;=$D$3,"Sì","No"))</f>
        <v/>
      </c>
    </row>
    <row r="9" customFormat="false" ht="15" hidden="false" customHeight="false" outlineLevel="0" collapsed="false">
      <c r="A9" s="6" t="n">
        <v>4</v>
      </c>
      <c r="B9" s="6" t="s">
        <v>32</v>
      </c>
      <c r="C9" s="6" t="s">
        <v>33</v>
      </c>
      <c r="D9" s="6" t="s">
        <v>41</v>
      </c>
      <c r="E9" s="6" t="s">
        <v>42</v>
      </c>
      <c r="F9" s="7" t="n">
        <v>12.93</v>
      </c>
      <c r="G9" s="7" t="n">
        <v>8.72</v>
      </c>
      <c r="H9" s="6" t="s">
        <v>29</v>
      </c>
      <c r="I9" s="6" t="n">
        <v>14</v>
      </c>
      <c r="J9" s="6" t="n">
        <v>1415</v>
      </c>
      <c r="K9" s="6" t="s">
        <v>30</v>
      </c>
      <c r="L9" s="8" t="s">
        <v>32</v>
      </c>
      <c r="M9" s="6" t="s">
        <v>36</v>
      </c>
      <c r="N9" s="9" t="n">
        <v>2</v>
      </c>
      <c r="O9" s="10" t="n">
        <v>45.052923</v>
      </c>
      <c r="P9" s="10" t="n">
        <v>9.860662</v>
      </c>
      <c r="Q9" s="11" t="str">
        <f aca="false">HYPERLINK("https://www.google.com/maps?q=45.052923,9.860662&amp;t=k","Apri")</f>
        <v>Apri</v>
      </c>
      <c r="R9" s="12" t="n">
        <f aca="false">F9*10000*$D$3</f>
        <v>1034400</v>
      </c>
      <c r="S9" s="8" t="s">
        <v>43</v>
      </c>
      <c r="T9" s="13"/>
      <c r="U9" s="14"/>
      <c r="V9" s="6" t="str">
        <f aca="false">IF(U9="","",IF(U9&lt;=$D$3,"Sì","No"))</f>
        <v/>
      </c>
    </row>
    <row r="10" customFormat="false" ht="15" hidden="false" customHeight="false" outlineLevel="0" collapsed="false">
      <c r="A10" s="6" t="n">
        <v>5</v>
      </c>
      <c r="B10" s="6" t="s">
        <v>44</v>
      </c>
      <c r="C10" s="6" t="s">
        <v>45</v>
      </c>
      <c r="D10" s="6" t="s">
        <v>46</v>
      </c>
      <c r="E10" s="6" t="s">
        <v>47</v>
      </c>
      <c r="F10" s="7" t="n">
        <v>8.29</v>
      </c>
      <c r="G10" s="7" t="n">
        <v>8.27</v>
      </c>
      <c r="H10" s="6" t="s">
        <v>29</v>
      </c>
      <c r="I10" s="6" t="n">
        <v>19</v>
      </c>
      <c r="J10" s="6" t="n">
        <v>49</v>
      </c>
      <c r="K10" s="6" t="s">
        <v>30</v>
      </c>
      <c r="L10" s="8" t="s">
        <v>48</v>
      </c>
      <c r="M10" s="6" t="s">
        <v>30</v>
      </c>
      <c r="N10" s="9" t="n">
        <v>0.2</v>
      </c>
      <c r="O10" s="10" t="n">
        <v>45.059487</v>
      </c>
      <c r="P10" s="10" t="n">
        <v>9.919453</v>
      </c>
      <c r="Q10" s="11" t="str">
        <f aca="false">HYPERLINK("https://www.google.com/maps?q=45.059487,9.919453&amp;t=k","Apri")</f>
        <v>Apri</v>
      </c>
      <c r="R10" s="12" t="n">
        <f aca="false">F10*10000*$D$3</f>
        <v>663200</v>
      </c>
      <c r="S10" s="8" t="s">
        <v>49</v>
      </c>
      <c r="T10" s="13"/>
      <c r="U10" s="14"/>
      <c r="V10" s="6" t="str">
        <f aca="false">IF(U10="","",IF(U10&lt;=$D$3,"Sì","No"))</f>
        <v/>
      </c>
    </row>
    <row r="11" customFormat="false" ht="15" hidden="false" customHeight="false" outlineLevel="0" collapsed="false">
      <c r="A11" s="6" t="n">
        <v>6</v>
      </c>
      <c r="B11" s="6" t="s">
        <v>25</v>
      </c>
      <c r="C11" s="6" t="s">
        <v>26</v>
      </c>
      <c r="D11" s="6" t="s">
        <v>41</v>
      </c>
      <c r="E11" s="6" t="s">
        <v>50</v>
      </c>
      <c r="F11" s="7" t="n">
        <v>9.79</v>
      </c>
      <c r="G11" s="7" t="n">
        <v>7.73</v>
      </c>
      <c r="H11" s="6" t="s">
        <v>29</v>
      </c>
      <c r="I11" s="6" t="n">
        <v>14</v>
      </c>
      <c r="J11" s="6" t="n">
        <v>1228</v>
      </c>
      <c r="K11" s="6" t="s">
        <v>30</v>
      </c>
      <c r="L11" s="8" t="s">
        <v>51</v>
      </c>
      <c r="M11" s="6" t="s">
        <v>52</v>
      </c>
      <c r="N11" s="9" t="n">
        <v>2.9</v>
      </c>
      <c r="O11" s="10" t="n">
        <v>45.063751</v>
      </c>
      <c r="P11" s="10" t="n">
        <v>9.54148</v>
      </c>
      <c r="Q11" s="11" t="str">
        <f aca="false">HYPERLINK("https://www.google.com/maps?q=45.063751,9.54148&amp;t=k","Apri")</f>
        <v>Apri</v>
      </c>
      <c r="R11" s="12" t="n">
        <f aca="false">F11*10000*$D$3</f>
        <v>783200</v>
      </c>
      <c r="S11" s="8" t="s">
        <v>53</v>
      </c>
      <c r="T11" s="13"/>
      <c r="U11" s="14"/>
      <c r="V11" s="6" t="str">
        <f aca="false">IF(U11="","",IF(U11&lt;=$D$3,"Sì","No"))</f>
        <v/>
      </c>
    </row>
    <row r="12" customFormat="false" ht="23.85" hidden="false" customHeight="false" outlineLevel="0" collapsed="false">
      <c r="A12" s="6" t="n">
        <v>7</v>
      </c>
      <c r="B12" s="6" t="s">
        <v>32</v>
      </c>
      <c r="C12" s="6" t="s">
        <v>33</v>
      </c>
      <c r="D12" s="6" t="s">
        <v>34</v>
      </c>
      <c r="E12" s="6" t="s">
        <v>54</v>
      </c>
      <c r="F12" s="7" t="n">
        <v>11.65</v>
      </c>
      <c r="G12" s="7" t="n">
        <v>7.69</v>
      </c>
      <c r="H12" s="6" t="s">
        <v>29</v>
      </c>
      <c r="I12" s="6" t="n">
        <v>79</v>
      </c>
      <c r="J12" s="6" t="n">
        <v>1617</v>
      </c>
      <c r="K12" s="6" t="s">
        <v>30</v>
      </c>
      <c r="L12" s="8" t="s">
        <v>32</v>
      </c>
      <c r="M12" s="6" t="s">
        <v>36</v>
      </c>
      <c r="N12" s="9" t="n">
        <v>3.1</v>
      </c>
      <c r="O12" s="10" t="n">
        <v>45.045056</v>
      </c>
      <c r="P12" s="10" t="n">
        <v>9.851336</v>
      </c>
      <c r="Q12" s="11" t="str">
        <f aca="false">HYPERLINK("https://www.google.com/maps?q=45.045056,9.851336&amp;t=k","Apri")</f>
        <v>Apri</v>
      </c>
      <c r="R12" s="12" t="n">
        <f aca="false">F12*10000*$D$3</f>
        <v>932000</v>
      </c>
      <c r="S12" s="8" t="s">
        <v>55</v>
      </c>
      <c r="T12" s="13"/>
      <c r="U12" s="14"/>
      <c r="V12" s="6" t="str">
        <f aca="false">IF(U12="","",IF(U12&lt;=$D$3,"Sì","No"))</f>
        <v/>
      </c>
    </row>
    <row r="13" customFormat="false" ht="15" hidden="false" customHeight="false" outlineLevel="0" collapsed="false">
      <c r="A13" s="6" t="n">
        <v>8</v>
      </c>
      <c r="B13" s="6" t="s">
        <v>56</v>
      </c>
      <c r="C13" s="6" t="s">
        <v>57</v>
      </c>
      <c r="D13" s="6" t="s">
        <v>28</v>
      </c>
      <c r="E13" s="6" t="s">
        <v>58</v>
      </c>
      <c r="F13" s="7" t="n">
        <v>12.09</v>
      </c>
      <c r="G13" s="7" t="n">
        <v>7.42</v>
      </c>
      <c r="H13" s="6" t="s">
        <v>29</v>
      </c>
      <c r="I13" s="6" t="n">
        <v>10</v>
      </c>
      <c r="J13" s="6" t="n">
        <v>192</v>
      </c>
      <c r="K13" s="6" t="s">
        <v>30</v>
      </c>
      <c r="L13" s="8" t="s">
        <v>59</v>
      </c>
      <c r="M13" s="6"/>
      <c r="N13" s="9" t="n">
        <v>1.3</v>
      </c>
      <c r="O13" s="10" t="n">
        <v>45.065325</v>
      </c>
      <c r="P13" s="10" t="n">
        <v>9.618428</v>
      </c>
      <c r="Q13" s="11" t="str">
        <f aca="false">HYPERLINK("https://www.google.com/maps?q=45.065325,9.618428&amp;t=k","Apri")</f>
        <v>Apri</v>
      </c>
      <c r="R13" s="12" t="n">
        <f aca="false">F13*10000*$D$3</f>
        <v>967200</v>
      </c>
      <c r="S13" s="8" t="s">
        <v>60</v>
      </c>
      <c r="T13" s="13"/>
      <c r="U13" s="14"/>
      <c r="V13" s="6" t="str">
        <f aca="false">IF(U13="","",IF(U13&lt;=$D$3,"Sì","No"))</f>
        <v/>
      </c>
    </row>
    <row r="14" customFormat="false" ht="23.85" hidden="false" customHeight="false" outlineLevel="0" collapsed="false">
      <c r="A14" s="6" t="n">
        <v>9</v>
      </c>
      <c r="B14" s="6" t="s">
        <v>32</v>
      </c>
      <c r="C14" s="6" t="s">
        <v>33</v>
      </c>
      <c r="D14" s="6" t="s">
        <v>61</v>
      </c>
      <c r="E14" s="6" t="s">
        <v>62</v>
      </c>
      <c r="F14" s="7" t="n">
        <v>12.6</v>
      </c>
      <c r="G14" s="7" t="n">
        <v>7.38</v>
      </c>
      <c r="H14" s="6" t="s">
        <v>29</v>
      </c>
      <c r="I14" s="6" t="n">
        <v>17</v>
      </c>
      <c r="J14" s="6" t="n">
        <v>55</v>
      </c>
      <c r="K14" s="6" t="s">
        <v>30</v>
      </c>
      <c r="L14" s="8" t="s">
        <v>32</v>
      </c>
      <c r="M14" s="6" t="s">
        <v>36</v>
      </c>
      <c r="N14" s="9" t="n">
        <v>4.2</v>
      </c>
      <c r="O14" s="10" t="n">
        <v>45.048215</v>
      </c>
      <c r="P14" s="10" t="n">
        <v>9.824691</v>
      </c>
      <c r="Q14" s="11" t="str">
        <f aca="false">HYPERLINK("https://www.google.com/maps?q=45.048215,9.824691&amp;t=k","Apri")</f>
        <v>Apri</v>
      </c>
      <c r="R14" s="12" t="n">
        <f aca="false">F14*10000*$D$3</f>
        <v>1008000</v>
      </c>
      <c r="S14" s="8" t="s">
        <v>63</v>
      </c>
      <c r="T14" s="13"/>
      <c r="U14" s="14"/>
      <c r="V14" s="6" t="str">
        <f aca="false">IF(U14="","",IF(U14&lt;=$D$3,"Sì","No"))</f>
        <v/>
      </c>
    </row>
    <row r="15" customFormat="false" ht="15" hidden="false" customHeight="false" outlineLevel="0" collapsed="false">
      <c r="A15" s="6" t="n">
        <v>10</v>
      </c>
      <c r="B15" s="6" t="s">
        <v>56</v>
      </c>
      <c r="C15" s="6" t="s">
        <v>57</v>
      </c>
      <c r="D15" s="6" t="s">
        <v>28</v>
      </c>
      <c r="E15" s="6" t="s">
        <v>64</v>
      </c>
      <c r="F15" s="7" t="n">
        <v>8.7</v>
      </c>
      <c r="G15" s="7" t="n">
        <v>7.11</v>
      </c>
      <c r="H15" s="6" t="s">
        <v>29</v>
      </c>
      <c r="I15" s="6" t="n">
        <v>9</v>
      </c>
      <c r="J15" s="6" t="n">
        <v>110</v>
      </c>
      <c r="K15" s="6" t="s">
        <v>30</v>
      </c>
      <c r="L15" s="8" t="s">
        <v>59</v>
      </c>
      <c r="M15" s="6"/>
      <c r="N15" s="9" t="n">
        <v>1.1</v>
      </c>
      <c r="O15" s="10" t="n">
        <v>45.064574</v>
      </c>
      <c r="P15" s="10" t="n">
        <v>9.621185</v>
      </c>
      <c r="Q15" s="11" t="str">
        <f aca="false">HYPERLINK("https://www.google.com/maps?q=45.064574,9.621185&amp;t=k","Apri")</f>
        <v>Apri</v>
      </c>
      <c r="R15" s="12" t="n">
        <f aca="false">F15*10000*$D$3</f>
        <v>696000</v>
      </c>
      <c r="S15" s="8" t="s">
        <v>65</v>
      </c>
      <c r="T15" s="13"/>
      <c r="U15" s="14"/>
      <c r="V15" s="6" t="str">
        <f aca="false">IF(U15="","",IF(U15&lt;=$D$3,"Sì","No"))</f>
        <v/>
      </c>
    </row>
    <row r="16" customFormat="false" ht="15" hidden="false" customHeight="false" outlineLevel="0" collapsed="false">
      <c r="A16" s="6" t="n">
        <v>11</v>
      </c>
      <c r="B16" s="6" t="s">
        <v>66</v>
      </c>
      <c r="C16" s="6" t="s">
        <v>67</v>
      </c>
      <c r="D16" s="6" t="s">
        <v>68</v>
      </c>
      <c r="E16" s="6" t="s">
        <v>35</v>
      </c>
      <c r="F16" s="7" t="n">
        <v>10.89</v>
      </c>
      <c r="G16" s="7" t="n">
        <v>6.96</v>
      </c>
      <c r="H16" s="6" t="s">
        <v>29</v>
      </c>
      <c r="I16" s="6" t="n">
        <v>21</v>
      </c>
      <c r="J16" s="6" t="n">
        <v>630</v>
      </c>
      <c r="K16" s="6" t="s">
        <v>36</v>
      </c>
      <c r="L16" s="8" t="s">
        <v>69</v>
      </c>
      <c r="M16" s="6" t="s">
        <v>30</v>
      </c>
      <c r="N16" s="9" t="n">
        <v>3</v>
      </c>
      <c r="O16" s="10" t="n">
        <v>45.064243</v>
      </c>
      <c r="P16" s="10" t="n">
        <v>9.956639</v>
      </c>
      <c r="Q16" s="11" t="str">
        <f aca="false">HYPERLINK("https://www.google.com/maps?q=45.064243,9.956639&amp;t=k","Apri")</f>
        <v>Apri</v>
      </c>
      <c r="R16" s="12" t="n">
        <f aca="false">F16*10000*$D$3</f>
        <v>871200</v>
      </c>
      <c r="S16" s="8" t="s">
        <v>70</v>
      </c>
      <c r="T16" s="13"/>
      <c r="U16" s="14"/>
      <c r="V16" s="6" t="str">
        <f aca="false">IF(U16="","",IF(U16&lt;=$D$3,"Sì","No"))</f>
        <v/>
      </c>
    </row>
    <row r="17" customFormat="false" ht="23.85" hidden="false" customHeight="false" outlineLevel="0" collapsed="false">
      <c r="A17" s="6" t="n">
        <v>12</v>
      </c>
      <c r="B17" s="6" t="s">
        <v>44</v>
      </c>
      <c r="C17" s="6" t="s">
        <v>45</v>
      </c>
      <c r="D17" s="6" t="s">
        <v>71</v>
      </c>
      <c r="E17" s="6" t="s">
        <v>46</v>
      </c>
      <c r="F17" s="7" t="n">
        <v>10.13</v>
      </c>
      <c r="G17" s="7" t="n">
        <v>6.81</v>
      </c>
      <c r="H17" s="6" t="s">
        <v>29</v>
      </c>
      <c r="I17" s="6" t="n">
        <v>13</v>
      </c>
      <c r="J17" s="6" t="n">
        <v>108</v>
      </c>
      <c r="K17" s="6" t="s">
        <v>36</v>
      </c>
      <c r="L17" s="8" t="s">
        <v>69</v>
      </c>
      <c r="M17" s="6" t="s">
        <v>30</v>
      </c>
      <c r="N17" s="9" t="n">
        <v>1.1</v>
      </c>
      <c r="O17" s="10" t="n">
        <v>45.057063</v>
      </c>
      <c r="P17" s="10" t="n">
        <v>9.931082</v>
      </c>
      <c r="Q17" s="11" t="str">
        <f aca="false">HYPERLINK("https://www.google.com/maps?q=45.057063,9.931082&amp;t=k","Apri")</f>
        <v>Apri</v>
      </c>
      <c r="R17" s="12" t="n">
        <f aca="false">F17*10000*$D$3</f>
        <v>810400</v>
      </c>
      <c r="S17" s="8" t="s">
        <v>72</v>
      </c>
      <c r="T17" s="13"/>
      <c r="U17" s="14"/>
      <c r="V17" s="6" t="str">
        <f aca="false">IF(U17="","",IF(U17&lt;=$D$3,"Sì","No"))</f>
        <v/>
      </c>
    </row>
    <row r="18" customFormat="false" ht="15" hidden="false" customHeight="false" outlineLevel="0" collapsed="false">
      <c r="A18" s="6" t="n">
        <v>13</v>
      </c>
      <c r="B18" s="6" t="s">
        <v>44</v>
      </c>
      <c r="C18" s="6" t="s">
        <v>45</v>
      </c>
      <c r="D18" s="6" t="s">
        <v>71</v>
      </c>
      <c r="E18" s="6" t="s">
        <v>47</v>
      </c>
      <c r="F18" s="7" t="n">
        <v>9.56</v>
      </c>
      <c r="G18" s="7" t="n">
        <v>6.61</v>
      </c>
      <c r="H18" s="6" t="s">
        <v>29</v>
      </c>
      <c r="I18" s="6" t="n">
        <v>21</v>
      </c>
      <c r="J18" s="6" t="n">
        <v>369</v>
      </c>
      <c r="K18" s="6" t="s">
        <v>36</v>
      </c>
      <c r="L18" s="8" t="s">
        <v>69</v>
      </c>
      <c r="M18" s="6" t="s">
        <v>30</v>
      </c>
      <c r="N18" s="9" t="n">
        <v>0.9</v>
      </c>
      <c r="O18" s="10" t="n">
        <v>45.061431</v>
      </c>
      <c r="P18" s="10" t="n">
        <v>9.929875</v>
      </c>
      <c r="Q18" s="11" t="str">
        <f aca="false">HYPERLINK("https://www.google.com/maps?q=45.061431,9.929875&amp;t=k","Apri")</f>
        <v>Apri</v>
      </c>
      <c r="R18" s="12" t="n">
        <f aca="false">F18*10000*$D$3</f>
        <v>764800</v>
      </c>
      <c r="S18" s="8" t="s">
        <v>73</v>
      </c>
      <c r="T18" s="13"/>
      <c r="U18" s="14"/>
      <c r="V18" s="6" t="str">
        <f aca="false">IF(U18="","",IF(U18&lt;=$D$3,"Sì","No"))</f>
        <v/>
      </c>
    </row>
    <row r="19" customFormat="false" ht="15" hidden="false" customHeight="false" outlineLevel="0" collapsed="false">
      <c r="A19" s="6" t="n">
        <v>14</v>
      </c>
      <c r="B19" s="6" t="s">
        <v>74</v>
      </c>
      <c r="C19" s="6" t="s">
        <v>75</v>
      </c>
      <c r="D19" s="6" t="s">
        <v>76</v>
      </c>
      <c r="E19" s="6" t="s">
        <v>77</v>
      </c>
      <c r="F19" s="7" t="n">
        <v>9.07</v>
      </c>
      <c r="G19" s="7" t="n">
        <v>6.49</v>
      </c>
      <c r="H19" s="6" t="s">
        <v>78</v>
      </c>
      <c r="I19" s="6" t="n">
        <v>14</v>
      </c>
      <c r="J19" s="6" t="n">
        <v>422</v>
      </c>
      <c r="K19" s="6" t="s">
        <v>30</v>
      </c>
      <c r="L19" s="8" t="s">
        <v>79</v>
      </c>
      <c r="M19" s="6" t="s">
        <v>30</v>
      </c>
      <c r="N19" s="9" t="n">
        <v>1.1</v>
      </c>
      <c r="O19" s="10" t="n">
        <v>44.972525</v>
      </c>
      <c r="P19" s="10" t="n">
        <v>9.876535</v>
      </c>
      <c r="Q19" s="11" t="str">
        <f aca="false">HYPERLINK("https://www.google.com/maps?q=44.972525,9.876535&amp;t=k","Apri")</f>
        <v>Apri</v>
      </c>
      <c r="R19" s="12" t="n">
        <f aca="false">F19*10000*$D$3</f>
        <v>725600</v>
      </c>
      <c r="S19" s="8" t="s">
        <v>80</v>
      </c>
      <c r="T19" s="13"/>
      <c r="U19" s="14"/>
      <c r="V19" s="6" t="str">
        <f aca="false">IF(U19="","",IF(U19&lt;=$D$3,"Sì","No"))</f>
        <v/>
      </c>
    </row>
    <row r="20" customFormat="false" ht="23.85" hidden="false" customHeight="false" outlineLevel="0" collapsed="false">
      <c r="A20" s="6" t="n">
        <v>15</v>
      </c>
      <c r="B20" s="6" t="s">
        <v>81</v>
      </c>
      <c r="C20" s="6" t="s">
        <v>82</v>
      </c>
      <c r="D20" s="6" t="s">
        <v>83</v>
      </c>
      <c r="E20" s="6" t="s">
        <v>84</v>
      </c>
      <c r="F20" s="7" t="n">
        <v>9.19</v>
      </c>
      <c r="G20" s="7" t="n">
        <v>6.48</v>
      </c>
      <c r="H20" s="6" t="s">
        <v>29</v>
      </c>
      <c r="I20" s="6" t="n">
        <v>65</v>
      </c>
      <c r="J20" s="6" t="n">
        <v>62</v>
      </c>
      <c r="K20" s="6" t="s">
        <v>36</v>
      </c>
      <c r="L20" s="8" t="s">
        <v>69</v>
      </c>
      <c r="M20" s="6" t="s">
        <v>30</v>
      </c>
      <c r="N20" s="9" t="n">
        <v>1.9</v>
      </c>
      <c r="O20" s="10" t="n">
        <v>45.058804</v>
      </c>
      <c r="P20" s="10" t="n">
        <v>9.942527</v>
      </c>
      <c r="Q20" s="11" t="str">
        <f aca="false">HYPERLINK("https://www.google.com/maps?q=45.058804,9.942527&amp;t=k","Apri")</f>
        <v>Apri</v>
      </c>
      <c r="R20" s="12" t="n">
        <f aca="false">F20*10000*$D$3</f>
        <v>735200</v>
      </c>
      <c r="S20" s="8" t="s">
        <v>85</v>
      </c>
      <c r="T20" s="13"/>
      <c r="U20" s="14"/>
      <c r="V20" s="6" t="str">
        <f aca="false">IF(U20="","",IF(U20&lt;=$D$3,"Sì","No"))</f>
        <v/>
      </c>
    </row>
    <row r="21" customFormat="false" ht="15" hidden="false" customHeight="false" outlineLevel="0" collapsed="false">
      <c r="A21" s="6" t="n">
        <v>16</v>
      </c>
      <c r="B21" s="6" t="s">
        <v>86</v>
      </c>
      <c r="C21" s="6" t="s">
        <v>87</v>
      </c>
      <c r="D21" s="6" t="s">
        <v>88</v>
      </c>
      <c r="E21" s="6" t="s">
        <v>89</v>
      </c>
      <c r="F21" s="7" t="n">
        <v>7.32</v>
      </c>
      <c r="G21" s="7" t="n">
        <v>6.38</v>
      </c>
      <c r="H21" s="6" t="s">
        <v>78</v>
      </c>
      <c r="I21" s="6" t="n">
        <v>30</v>
      </c>
      <c r="J21" s="6" t="n">
        <v>360</v>
      </c>
      <c r="K21" s="6" t="s">
        <v>30</v>
      </c>
      <c r="L21" s="8" t="s">
        <v>59</v>
      </c>
      <c r="M21" s="6"/>
      <c r="N21" s="9" t="n">
        <v>0.3</v>
      </c>
      <c r="O21" s="10" t="n">
        <v>45.024712</v>
      </c>
      <c r="P21" s="10" t="n">
        <v>9.771422</v>
      </c>
      <c r="Q21" s="11" t="str">
        <f aca="false">HYPERLINK("https://www.google.com/maps?q=45.024712,9.771422&amp;t=k","Apri")</f>
        <v>Apri</v>
      </c>
      <c r="R21" s="12" t="n">
        <f aca="false">F21*10000*$D$3</f>
        <v>585600</v>
      </c>
      <c r="S21" s="8" t="s">
        <v>90</v>
      </c>
      <c r="T21" s="13"/>
      <c r="U21" s="14"/>
      <c r="V21" s="6" t="str">
        <f aca="false">IF(U21="","",IF(U21&lt;=$D$3,"Sì","No"))</f>
        <v/>
      </c>
    </row>
    <row r="22" customFormat="false" ht="23.85" hidden="false" customHeight="false" outlineLevel="0" collapsed="false">
      <c r="A22" s="6" t="n">
        <v>17</v>
      </c>
      <c r="B22" s="6" t="s">
        <v>86</v>
      </c>
      <c r="C22" s="6" t="s">
        <v>87</v>
      </c>
      <c r="D22" s="6" t="s">
        <v>91</v>
      </c>
      <c r="E22" s="6" t="s">
        <v>92</v>
      </c>
      <c r="F22" s="7" t="n">
        <v>6.18</v>
      </c>
      <c r="G22" s="7" t="n">
        <v>6.18</v>
      </c>
      <c r="H22" s="6" t="s">
        <v>78</v>
      </c>
      <c r="I22" s="6" t="n">
        <v>11</v>
      </c>
      <c r="J22" s="6" t="n">
        <v>36</v>
      </c>
      <c r="K22" s="6" t="s">
        <v>30</v>
      </c>
      <c r="L22" s="8" t="s">
        <v>93</v>
      </c>
      <c r="M22" s="6" t="s">
        <v>30</v>
      </c>
      <c r="N22" s="9" t="n">
        <v>0.8</v>
      </c>
      <c r="O22" s="10" t="n">
        <v>45.059068</v>
      </c>
      <c r="P22" s="10" t="n">
        <v>9.742343</v>
      </c>
      <c r="Q22" s="11" t="str">
        <f aca="false">HYPERLINK("https://www.google.com/maps?q=45.059068,9.742343&amp;t=k","Apri")</f>
        <v>Apri</v>
      </c>
      <c r="R22" s="12" t="n">
        <f aca="false">F22*10000*$D$3</f>
        <v>494400</v>
      </c>
      <c r="S22" s="8" t="s">
        <v>94</v>
      </c>
      <c r="T22" s="13"/>
      <c r="U22" s="14"/>
      <c r="V22" s="6" t="str">
        <f aca="false">IF(U22="","",IF(U22&lt;=$D$3,"Sì","No"))</f>
        <v/>
      </c>
    </row>
    <row r="23" customFormat="false" ht="23.85" hidden="false" customHeight="false" outlineLevel="0" collapsed="false">
      <c r="A23" s="6" t="n">
        <v>18</v>
      </c>
      <c r="B23" s="6" t="s">
        <v>56</v>
      </c>
      <c r="C23" s="6" t="s">
        <v>57</v>
      </c>
      <c r="D23" s="6" t="s">
        <v>28</v>
      </c>
      <c r="E23" s="6" t="s">
        <v>95</v>
      </c>
      <c r="F23" s="7" t="n">
        <v>6.73</v>
      </c>
      <c r="G23" s="7" t="n">
        <v>6.16</v>
      </c>
      <c r="H23" s="6" t="s">
        <v>29</v>
      </c>
      <c r="I23" s="6" t="n">
        <v>16</v>
      </c>
      <c r="J23" s="6" t="n">
        <v>243</v>
      </c>
      <c r="K23" s="6" t="s">
        <v>30</v>
      </c>
      <c r="L23" s="8" t="s">
        <v>59</v>
      </c>
      <c r="M23" s="6"/>
      <c r="N23" s="9" t="n">
        <v>1.2</v>
      </c>
      <c r="O23" s="10" t="n">
        <v>45.0614</v>
      </c>
      <c r="P23" s="10" t="n">
        <v>9.616052</v>
      </c>
      <c r="Q23" s="11" t="str">
        <f aca="false">HYPERLINK("https://www.google.com/maps?q=45.0614,9.616052&amp;t=k","Apri")</f>
        <v>Apri</v>
      </c>
      <c r="R23" s="12" t="n">
        <f aca="false">F23*10000*$D$3</f>
        <v>538400</v>
      </c>
      <c r="S23" s="8" t="s">
        <v>96</v>
      </c>
      <c r="T23" s="13"/>
      <c r="U23" s="14"/>
      <c r="V23" s="6" t="str">
        <f aca="false">IF(U23="","",IF(U23&lt;=$D$3,"Sì","No"))</f>
        <v/>
      </c>
    </row>
    <row r="24" customFormat="false" ht="15" hidden="false" customHeight="false" outlineLevel="0" collapsed="false">
      <c r="A24" s="6" t="n">
        <v>19</v>
      </c>
      <c r="B24" s="6" t="s">
        <v>74</v>
      </c>
      <c r="C24" s="6" t="s">
        <v>75</v>
      </c>
      <c r="D24" s="6" t="s">
        <v>76</v>
      </c>
      <c r="E24" s="6" t="s">
        <v>97</v>
      </c>
      <c r="F24" s="7" t="n">
        <v>6.12</v>
      </c>
      <c r="G24" s="7" t="n">
        <v>6.12</v>
      </c>
      <c r="H24" s="6" t="s">
        <v>78</v>
      </c>
      <c r="I24" s="6" t="n">
        <v>13</v>
      </c>
      <c r="J24" s="6" t="n">
        <v>148</v>
      </c>
      <c r="K24" s="6" t="s">
        <v>30</v>
      </c>
      <c r="L24" s="8" t="s">
        <v>79</v>
      </c>
      <c r="M24" s="6" t="s">
        <v>30</v>
      </c>
      <c r="N24" s="9" t="n">
        <v>0.6</v>
      </c>
      <c r="O24" s="10" t="n">
        <v>44.973085</v>
      </c>
      <c r="P24" s="10" t="n">
        <v>9.883344</v>
      </c>
      <c r="Q24" s="11" t="str">
        <f aca="false">HYPERLINK("https://www.google.com/maps?q=44.973085,9.883344&amp;t=k","Apri")</f>
        <v>Apri</v>
      </c>
      <c r="R24" s="12" t="n">
        <f aca="false">F24*10000*$D$3</f>
        <v>489600</v>
      </c>
      <c r="S24" s="8" t="s">
        <v>98</v>
      </c>
      <c r="T24" s="13"/>
      <c r="U24" s="14"/>
      <c r="V24" s="6" t="str">
        <f aca="false">IF(U24="","",IF(U24&lt;=$D$3,"Sì","No"))</f>
        <v/>
      </c>
    </row>
    <row r="25" customFormat="false" ht="23.85" hidden="false" customHeight="false" outlineLevel="0" collapsed="false">
      <c r="A25" s="6" t="n">
        <v>20</v>
      </c>
      <c r="B25" s="6" t="s">
        <v>32</v>
      </c>
      <c r="C25" s="6" t="s">
        <v>33</v>
      </c>
      <c r="D25" s="6" t="s">
        <v>99</v>
      </c>
      <c r="E25" s="6" t="s">
        <v>41</v>
      </c>
      <c r="F25" s="7" t="n">
        <v>6.81</v>
      </c>
      <c r="G25" s="7" t="n">
        <v>6.1</v>
      </c>
      <c r="H25" s="6" t="s">
        <v>29</v>
      </c>
      <c r="I25" s="6" t="n">
        <v>16</v>
      </c>
      <c r="J25" s="6" t="n">
        <v>599</v>
      </c>
      <c r="K25" s="6" t="s">
        <v>36</v>
      </c>
      <c r="L25" s="8" t="s">
        <v>48</v>
      </c>
      <c r="M25" s="6" t="s">
        <v>30</v>
      </c>
      <c r="N25" s="9" t="n">
        <v>1.8</v>
      </c>
      <c r="O25" s="10" t="n">
        <v>45.055931</v>
      </c>
      <c r="P25" s="10" t="n">
        <v>9.89555</v>
      </c>
      <c r="Q25" s="11" t="str">
        <f aca="false">HYPERLINK("https://www.google.com/maps?q=45.055931,9.89555&amp;t=k","Apri")</f>
        <v>Apri</v>
      </c>
      <c r="R25" s="12" t="n">
        <f aca="false">F25*10000*$D$3</f>
        <v>544800</v>
      </c>
      <c r="S25" s="8" t="s">
        <v>100</v>
      </c>
      <c r="T25" s="13"/>
      <c r="U25" s="14"/>
      <c r="V25" s="6" t="str">
        <f aca="false">IF(U25="","",IF(U25&lt;=$D$3,"Sì","No"))</f>
        <v/>
      </c>
    </row>
    <row r="26" customFormat="false" ht="15" hidden="false" customHeight="false" outlineLevel="0" collapsed="false">
      <c r="A26" s="6" t="n">
        <v>21</v>
      </c>
      <c r="B26" s="6" t="s">
        <v>66</v>
      </c>
      <c r="C26" s="6" t="s">
        <v>67</v>
      </c>
      <c r="D26" s="6" t="s">
        <v>76</v>
      </c>
      <c r="E26" s="6" t="s">
        <v>101</v>
      </c>
      <c r="F26" s="7" t="n">
        <v>6.07</v>
      </c>
      <c r="G26" s="7" t="n">
        <v>6.07</v>
      </c>
      <c r="H26" s="6" t="s">
        <v>29</v>
      </c>
      <c r="I26" s="6" t="n">
        <v>17</v>
      </c>
      <c r="J26" s="6" t="n">
        <v>1334</v>
      </c>
      <c r="K26" s="6" t="s">
        <v>36</v>
      </c>
      <c r="L26" s="8" t="s">
        <v>69</v>
      </c>
      <c r="M26" s="6" t="s">
        <v>30</v>
      </c>
      <c r="N26" s="9" t="n">
        <v>3.8</v>
      </c>
      <c r="O26" s="10" t="n">
        <v>45.070816</v>
      </c>
      <c r="P26" s="10" t="n">
        <v>9.965073</v>
      </c>
      <c r="Q26" s="11" t="str">
        <f aca="false">HYPERLINK("https://www.google.com/maps?q=45.070816,9.965073&amp;t=k","Apri")</f>
        <v>Apri</v>
      </c>
      <c r="R26" s="12" t="n">
        <f aca="false">F26*10000*$D$3</f>
        <v>485600</v>
      </c>
      <c r="S26" s="8"/>
      <c r="T26" s="13"/>
      <c r="U26" s="14"/>
      <c r="V26" s="6" t="str">
        <f aca="false">IF(U26="","",IF(U26&lt;=$D$3,"Sì","No"))</f>
        <v/>
      </c>
    </row>
    <row r="27" customFormat="false" ht="15" hidden="false" customHeight="false" outlineLevel="0" collapsed="false">
      <c r="A27" s="6" t="n">
        <v>22</v>
      </c>
      <c r="B27" s="6" t="s">
        <v>81</v>
      </c>
      <c r="C27" s="6" t="s">
        <v>82</v>
      </c>
      <c r="D27" s="6" t="s">
        <v>102</v>
      </c>
      <c r="E27" s="6" t="s">
        <v>103</v>
      </c>
      <c r="F27" s="7" t="n">
        <v>6.07</v>
      </c>
      <c r="G27" s="7" t="n">
        <v>6.07</v>
      </c>
      <c r="H27" s="6" t="s">
        <v>29</v>
      </c>
      <c r="I27" s="6" t="n">
        <v>24</v>
      </c>
      <c r="J27" s="6" t="n">
        <v>160</v>
      </c>
      <c r="K27" s="6" t="s">
        <v>36</v>
      </c>
      <c r="L27" s="8" t="s">
        <v>69</v>
      </c>
      <c r="M27" s="6" t="s">
        <v>30</v>
      </c>
      <c r="N27" s="9" t="n">
        <v>0.4</v>
      </c>
      <c r="O27" s="10" t="n">
        <v>45.059985</v>
      </c>
      <c r="P27" s="10" t="n">
        <v>9.923683</v>
      </c>
      <c r="Q27" s="11" t="str">
        <f aca="false">HYPERLINK("https://www.google.com/maps?q=45.059985,9.923683&amp;t=k","Apri")</f>
        <v>Apri</v>
      </c>
      <c r="R27" s="12" t="n">
        <f aca="false">F27*10000*$D$3</f>
        <v>485600</v>
      </c>
      <c r="S27" s="8" t="s">
        <v>104</v>
      </c>
      <c r="T27" s="13"/>
      <c r="U27" s="14"/>
      <c r="V27" s="6" t="str">
        <f aca="false">IF(U27="","",IF(U27&lt;=$D$3,"Sì","No"))</f>
        <v/>
      </c>
    </row>
    <row r="28" customFormat="false" ht="15" hidden="false" customHeight="false" outlineLevel="0" collapsed="false">
      <c r="A28" s="6" t="n">
        <v>23</v>
      </c>
      <c r="B28" s="6" t="s">
        <v>32</v>
      </c>
      <c r="C28" s="6" t="s">
        <v>33</v>
      </c>
      <c r="D28" s="6" t="s">
        <v>34</v>
      </c>
      <c r="E28" s="6" t="s">
        <v>105</v>
      </c>
      <c r="F28" s="7" t="n">
        <v>6.29</v>
      </c>
      <c r="G28" s="7" t="n">
        <v>6.04</v>
      </c>
      <c r="H28" s="6" t="s">
        <v>29</v>
      </c>
      <c r="I28" s="6" t="n">
        <v>16</v>
      </c>
      <c r="J28" s="6" t="n">
        <v>1073</v>
      </c>
      <c r="K28" s="6" t="s">
        <v>30</v>
      </c>
      <c r="L28" s="8" t="s">
        <v>32</v>
      </c>
      <c r="M28" s="6" t="s">
        <v>36</v>
      </c>
      <c r="N28" s="9" t="n">
        <v>3.1</v>
      </c>
      <c r="O28" s="10" t="n">
        <v>45.047742</v>
      </c>
      <c r="P28" s="10" t="n">
        <v>9.84505</v>
      </c>
      <c r="Q28" s="11" t="str">
        <f aca="false">HYPERLINK("https://www.google.com/maps?q=45.047742,9.84505&amp;t=k","Apri")</f>
        <v>Apri</v>
      </c>
      <c r="R28" s="12" t="n">
        <f aca="false">F28*10000*$D$3</f>
        <v>503200</v>
      </c>
      <c r="S28" s="8"/>
      <c r="T28" s="13"/>
      <c r="U28" s="14"/>
      <c r="V28" s="6" t="str">
        <f aca="false">IF(U28="","",IF(U28&lt;=$D$3,"Sì","No"))</f>
        <v/>
      </c>
    </row>
    <row r="29" customFormat="false" ht="15" hidden="false" customHeight="false" outlineLevel="0" collapsed="false">
      <c r="A29" s="6" t="n">
        <v>24</v>
      </c>
      <c r="B29" s="6" t="s">
        <v>32</v>
      </c>
      <c r="C29" s="6" t="s">
        <v>33</v>
      </c>
      <c r="D29" s="6" t="s">
        <v>61</v>
      </c>
      <c r="E29" s="6" t="s">
        <v>106</v>
      </c>
      <c r="F29" s="7" t="n">
        <v>8.53</v>
      </c>
      <c r="G29" s="7" t="n">
        <v>5.97</v>
      </c>
      <c r="H29" s="6" t="s">
        <v>29</v>
      </c>
      <c r="I29" s="6" t="n">
        <v>14</v>
      </c>
      <c r="J29" s="6" t="n">
        <v>562</v>
      </c>
      <c r="K29" s="6" t="s">
        <v>30</v>
      </c>
      <c r="L29" s="8" t="s">
        <v>32</v>
      </c>
      <c r="M29" s="6" t="s">
        <v>36</v>
      </c>
      <c r="N29" s="9" t="n">
        <v>3.7</v>
      </c>
      <c r="O29" s="10" t="n">
        <v>45.047697</v>
      </c>
      <c r="P29" s="10" t="n">
        <v>9.834912</v>
      </c>
      <c r="Q29" s="11" t="str">
        <f aca="false">HYPERLINK("https://www.google.com/maps?q=45.047697,9.834912&amp;t=k","Apri")</f>
        <v>Apri</v>
      </c>
      <c r="R29" s="12" t="n">
        <f aca="false">F29*10000*$D$3</f>
        <v>682400</v>
      </c>
      <c r="S29" s="8" t="s">
        <v>107</v>
      </c>
      <c r="T29" s="13"/>
      <c r="U29" s="14"/>
      <c r="V29" s="6" t="str">
        <f aca="false">IF(U29="","",IF(U29&lt;=$D$3,"Sì","No"))</f>
        <v/>
      </c>
    </row>
    <row r="30" customFormat="false" ht="23.85" hidden="false" customHeight="false" outlineLevel="0" collapsed="false">
      <c r="A30" s="6" t="n">
        <v>25</v>
      </c>
      <c r="B30" s="6" t="s">
        <v>108</v>
      </c>
      <c r="C30" s="6" t="s">
        <v>109</v>
      </c>
      <c r="D30" s="6" t="s">
        <v>110</v>
      </c>
      <c r="E30" s="6" t="s">
        <v>111</v>
      </c>
      <c r="F30" s="7" t="n">
        <v>6.24</v>
      </c>
      <c r="G30" s="7" t="n">
        <v>5.89</v>
      </c>
      <c r="H30" s="6" t="s">
        <v>29</v>
      </c>
      <c r="I30" s="6" t="n">
        <v>9</v>
      </c>
      <c r="J30" s="6" t="n">
        <v>15</v>
      </c>
      <c r="K30" s="6" t="s">
        <v>30</v>
      </c>
      <c r="L30" s="8" t="s">
        <v>112</v>
      </c>
      <c r="M30" s="6" t="s">
        <v>36</v>
      </c>
      <c r="N30" s="9" t="n">
        <v>5.1</v>
      </c>
      <c r="O30" s="10" t="n">
        <v>45.082477</v>
      </c>
      <c r="P30" s="10" t="n">
        <v>9.414815</v>
      </c>
      <c r="Q30" s="11" t="str">
        <f aca="false">HYPERLINK("https://www.google.com/maps?q=45.082477,9.414815&amp;t=k","Apri")</f>
        <v>Apri</v>
      </c>
      <c r="R30" s="12" t="n">
        <f aca="false">F30*10000*$D$3</f>
        <v>499200</v>
      </c>
      <c r="S30" s="8" t="s">
        <v>113</v>
      </c>
      <c r="T30" s="13"/>
      <c r="U30" s="14"/>
      <c r="V30" s="6" t="str">
        <f aca="false">IF(U30="","",IF(U30&lt;=$D$3,"Sì","No"))</f>
        <v/>
      </c>
    </row>
    <row r="31" customFormat="false" ht="15" hidden="false" customHeight="false" outlineLevel="0" collapsed="false">
      <c r="A31" s="6" t="n">
        <v>26</v>
      </c>
      <c r="B31" s="6" t="s">
        <v>114</v>
      </c>
      <c r="C31" s="6" t="s">
        <v>115</v>
      </c>
      <c r="D31" s="6" t="s">
        <v>27</v>
      </c>
      <c r="E31" s="6" t="s">
        <v>116</v>
      </c>
      <c r="F31" s="7" t="n">
        <v>7.56</v>
      </c>
      <c r="G31" s="7" t="n">
        <v>5.83</v>
      </c>
      <c r="H31" s="6" t="s">
        <v>78</v>
      </c>
      <c r="I31" s="6" t="n">
        <v>18</v>
      </c>
      <c r="J31" s="6" t="n">
        <v>128</v>
      </c>
      <c r="K31" s="6" t="s">
        <v>30</v>
      </c>
      <c r="L31" s="8" t="s">
        <v>117</v>
      </c>
      <c r="M31" s="6" t="s">
        <v>30</v>
      </c>
      <c r="N31" s="9" t="n">
        <v>4.2</v>
      </c>
      <c r="O31" s="10" t="n">
        <v>44.998189</v>
      </c>
      <c r="P31" s="10" t="n">
        <v>9.814251</v>
      </c>
      <c r="Q31" s="11" t="str">
        <f aca="false">HYPERLINK("https://www.google.com/maps?q=44.998189,9.814251&amp;t=k","Apri")</f>
        <v>Apri</v>
      </c>
      <c r="R31" s="12" t="n">
        <f aca="false">F31*10000*$D$3</f>
        <v>604800</v>
      </c>
      <c r="S31" s="8" t="s">
        <v>118</v>
      </c>
      <c r="T31" s="13"/>
      <c r="U31" s="14"/>
      <c r="V31" s="6" t="str">
        <f aca="false">IF(U31="","",IF(U31&lt;=$D$3,"Sì","No"))</f>
        <v/>
      </c>
    </row>
    <row r="32" customFormat="false" ht="15" hidden="false" customHeight="false" outlineLevel="0" collapsed="false">
      <c r="A32" s="6" t="n">
        <v>27</v>
      </c>
      <c r="B32" s="6" t="s">
        <v>74</v>
      </c>
      <c r="C32" s="6" t="s">
        <v>75</v>
      </c>
      <c r="D32" s="6" t="s">
        <v>84</v>
      </c>
      <c r="E32" s="6" t="s">
        <v>119</v>
      </c>
      <c r="F32" s="7" t="n">
        <v>7.47</v>
      </c>
      <c r="G32" s="7" t="n">
        <v>5.7</v>
      </c>
      <c r="H32" s="6" t="s">
        <v>78</v>
      </c>
      <c r="I32" s="6" t="n">
        <v>59</v>
      </c>
      <c r="J32" s="6" t="n">
        <v>115</v>
      </c>
      <c r="K32" s="6" t="s">
        <v>36</v>
      </c>
      <c r="L32" s="8" t="s">
        <v>117</v>
      </c>
      <c r="M32" s="6" t="s">
        <v>30</v>
      </c>
      <c r="N32" s="9" t="n">
        <v>2.1</v>
      </c>
      <c r="O32" s="10" t="n">
        <v>44.988901</v>
      </c>
      <c r="P32" s="10" t="n">
        <v>9.849365</v>
      </c>
      <c r="Q32" s="11" t="str">
        <f aca="false">HYPERLINK("https://www.google.com/maps?q=44.988901,9.849365&amp;t=k","Apri")</f>
        <v>Apri</v>
      </c>
      <c r="R32" s="12" t="n">
        <f aca="false">F32*10000*$D$3</f>
        <v>597600</v>
      </c>
      <c r="S32" s="8" t="s">
        <v>120</v>
      </c>
      <c r="T32" s="13"/>
      <c r="U32" s="14"/>
      <c r="V32" s="6" t="str">
        <f aca="false">IF(U32="","",IF(U32&lt;=$D$3,"Sì","No"))</f>
        <v/>
      </c>
    </row>
    <row r="33" customFormat="false" ht="15" hidden="false" customHeight="false" outlineLevel="0" collapsed="false">
      <c r="A33" s="6" t="n">
        <v>28</v>
      </c>
      <c r="B33" s="6" t="s">
        <v>74</v>
      </c>
      <c r="C33" s="6" t="s">
        <v>75</v>
      </c>
      <c r="D33" s="6" t="s">
        <v>84</v>
      </c>
      <c r="E33" s="6" t="s">
        <v>62</v>
      </c>
      <c r="F33" s="7" t="n">
        <v>10.04</v>
      </c>
      <c r="G33" s="7" t="n">
        <v>5.57</v>
      </c>
      <c r="H33" s="6" t="s">
        <v>78</v>
      </c>
      <c r="I33" s="6" t="n">
        <v>64</v>
      </c>
      <c r="J33" s="6" t="n">
        <v>395</v>
      </c>
      <c r="K33" s="6" t="s">
        <v>30</v>
      </c>
      <c r="L33" s="8" t="s">
        <v>117</v>
      </c>
      <c r="M33" s="6" t="s">
        <v>30</v>
      </c>
      <c r="N33" s="9" t="n">
        <v>1.7</v>
      </c>
      <c r="O33" s="10" t="n">
        <v>44.984705</v>
      </c>
      <c r="P33" s="10" t="n">
        <v>9.845846</v>
      </c>
      <c r="Q33" s="11" t="str">
        <f aca="false">HYPERLINK("https://www.google.com/maps?q=44.984705,9.845846&amp;t=k","Apri")</f>
        <v>Apri</v>
      </c>
      <c r="R33" s="12" t="n">
        <f aca="false">F33*10000*$D$3</f>
        <v>803200</v>
      </c>
      <c r="S33" s="8" t="s">
        <v>121</v>
      </c>
      <c r="T33" s="13"/>
      <c r="U33" s="14"/>
      <c r="V33" s="6" t="str">
        <f aca="false">IF(U33="","",IF(U33&lt;=$D$3,"Sì","No"))</f>
        <v/>
      </c>
    </row>
    <row r="34" customFormat="false" ht="15" hidden="false" customHeight="false" outlineLevel="0" collapsed="false">
      <c r="A34" s="6" t="n">
        <v>29</v>
      </c>
      <c r="B34" s="6" t="s">
        <v>32</v>
      </c>
      <c r="C34" s="6" t="s">
        <v>33</v>
      </c>
      <c r="D34" s="6" t="s">
        <v>61</v>
      </c>
      <c r="E34" s="6" t="s">
        <v>122</v>
      </c>
      <c r="F34" s="7" t="n">
        <v>6.55</v>
      </c>
      <c r="G34" s="7" t="n">
        <v>5.54</v>
      </c>
      <c r="H34" s="6" t="s">
        <v>29</v>
      </c>
      <c r="I34" s="6" t="n">
        <v>97</v>
      </c>
      <c r="J34" s="6" t="n">
        <v>370</v>
      </c>
      <c r="K34" s="6" t="s">
        <v>30</v>
      </c>
      <c r="L34" s="8" t="s">
        <v>32</v>
      </c>
      <c r="M34" s="6" t="s">
        <v>36</v>
      </c>
      <c r="N34" s="9" t="n">
        <v>3.9</v>
      </c>
      <c r="O34" s="10" t="n">
        <v>45.047871</v>
      </c>
      <c r="P34" s="10" t="n">
        <v>9.831259</v>
      </c>
      <c r="Q34" s="11" t="str">
        <f aca="false">HYPERLINK("https://www.google.com/maps?q=45.047871,9.831259&amp;t=k","Apri")</f>
        <v>Apri</v>
      </c>
      <c r="R34" s="12" t="n">
        <f aca="false">F34*10000*$D$3</f>
        <v>524000</v>
      </c>
      <c r="S34" s="8" t="s">
        <v>123</v>
      </c>
      <c r="T34" s="13"/>
      <c r="U34" s="14"/>
      <c r="V34" s="6" t="str">
        <f aca="false">IF(U34="","",IF(U34&lt;=$D$3,"Sì","No"))</f>
        <v/>
      </c>
    </row>
    <row r="35" customFormat="false" ht="15" hidden="false" customHeight="false" outlineLevel="0" collapsed="false">
      <c r="A35" s="6" t="n">
        <v>30</v>
      </c>
      <c r="B35" s="6" t="s">
        <v>66</v>
      </c>
      <c r="C35" s="6" t="s">
        <v>67</v>
      </c>
      <c r="D35" s="6" t="s">
        <v>68</v>
      </c>
      <c r="E35" s="6" t="s">
        <v>124</v>
      </c>
      <c r="F35" s="7" t="n">
        <v>5.52</v>
      </c>
      <c r="G35" s="7" t="n">
        <v>5.52</v>
      </c>
      <c r="H35" s="6" t="s">
        <v>29</v>
      </c>
      <c r="I35" s="6" t="n">
        <v>10</v>
      </c>
      <c r="J35" s="6" t="n">
        <v>1096</v>
      </c>
      <c r="K35" s="6" t="s">
        <v>36</v>
      </c>
      <c r="L35" s="8" t="s">
        <v>69</v>
      </c>
      <c r="M35" s="6" t="s">
        <v>30</v>
      </c>
      <c r="N35" s="9" t="n">
        <v>3.1</v>
      </c>
      <c r="O35" s="10" t="n">
        <v>45.068466</v>
      </c>
      <c r="P35" s="10" t="n">
        <v>9.956767</v>
      </c>
      <c r="Q35" s="11" t="str">
        <f aca="false">HYPERLINK("https://www.google.com/maps?q=45.068466,9.956767&amp;t=k","Apri")</f>
        <v>Apri</v>
      </c>
      <c r="R35" s="12" t="n">
        <f aca="false">F35*10000*$D$3</f>
        <v>441600</v>
      </c>
      <c r="S35" s="8" t="s">
        <v>125</v>
      </c>
      <c r="T35" s="13"/>
      <c r="U35" s="14"/>
      <c r="V35" s="6" t="str">
        <f aca="false">IF(U35="","",IF(U35&lt;=$D$3,"Sì","No"))</f>
        <v/>
      </c>
    </row>
    <row r="36" customFormat="false" ht="15" hidden="false" customHeight="false" outlineLevel="0" collapsed="false">
      <c r="A36" s="6" t="n">
        <v>31</v>
      </c>
      <c r="B36" s="6" t="s">
        <v>66</v>
      </c>
      <c r="C36" s="6" t="s">
        <v>67</v>
      </c>
      <c r="D36" s="6" t="s">
        <v>64</v>
      </c>
      <c r="E36" s="6" t="s">
        <v>126</v>
      </c>
      <c r="F36" s="7" t="n">
        <v>5.5</v>
      </c>
      <c r="G36" s="7" t="n">
        <v>5.5</v>
      </c>
      <c r="H36" s="6" t="s">
        <v>29</v>
      </c>
      <c r="I36" s="6" t="n">
        <v>14</v>
      </c>
      <c r="J36" s="6" t="n">
        <v>2036</v>
      </c>
      <c r="K36" s="6" t="s">
        <v>36</v>
      </c>
      <c r="L36" s="8" t="s">
        <v>69</v>
      </c>
      <c r="M36" s="6" t="s">
        <v>30</v>
      </c>
      <c r="N36" s="9" t="n">
        <v>4.8</v>
      </c>
      <c r="O36" s="10" t="n">
        <v>45.077314</v>
      </c>
      <c r="P36" s="10" t="n">
        <v>9.975459</v>
      </c>
      <c r="Q36" s="11" t="str">
        <f aca="false">HYPERLINK("https://www.google.com/maps?q=45.077314,9.975459&amp;t=k","Apri")</f>
        <v>Apri</v>
      </c>
      <c r="R36" s="12" t="n">
        <f aca="false">F36*10000*$D$3</f>
        <v>440000</v>
      </c>
      <c r="S36" s="8"/>
      <c r="T36" s="13"/>
      <c r="U36" s="14"/>
      <c r="V36" s="6" t="str">
        <f aca="false">IF(U36="","",IF(U36&lt;=$D$3,"Sì","No"))</f>
        <v/>
      </c>
    </row>
    <row r="37" customFormat="false" ht="15" hidden="false" customHeight="false" outlineLevel="0" collapsed="false">
      <c r="A37" s="6" t="n">
        <v>32</v>
      </c>
      <c r="B37" s="6" t="s">
        <v>108</v>
      </c>
      <c r="C37" s="6" t="s">
        <v>109</v>
      </c>
      <c r="D37" s="6" t="s">
        <v>71</v>
      </c>
      <c r="E37" s="6" t="s">
        <v>127</v>
      </c>
      <c r="F37" s="7" t="n">
        <v>5.48</v>
      </c>
      <c r="G37" s="7" t="n">
        <v>5.48</v>
      </c>
      <c r="H37" s="6" t="s">
        <v>29</v>
      </c>
      <c r="I37" s="6" t="n">
        <v>13</v>
      </c>
      <c r="J37" s="6" t="n">
        <v>176</v>
      </c>
      <c r="K37" s="6" t="s">
        <v>30</v>
      </c>
      <c r="L37" s="8" t="s">
        <v>112</v>
      </c>
      <c r="M37" s="6" t="s">
        <v>36</v>
      </c>
      <c r="N37" s="9" t="n">
        <v>3.6</v>
      </c>
      <c r="O37" s="10" t="n">
        <v>45.078836</v>
      </c>
      <c r="P37" s="10" t="n">
        <v>9.436467</v>
      </c>
      <c r="Q37" s="11" t="str">
        <f aca="false">HYPERLINK("https://www.google.com/maps?q=45.078836,9.436467&amp;t=k","Apri")</f>
        <v>Apri</v>
      </c>
      <c r="R37" s="12" t="n">
        <f aca="false">F37*10000*$D$3</f>
        <v>438400</v>
      </c>
      <c r="S37" s="8" t="s">
        <v>128</v>
      </c>
      <c r="T37" s="13"/>
      <c r="U37" s="14"/>
      <c r="V37" s="6" t="str">
        <f aca="false">IF(U37="","",IF(U37&lt;=$D$3,"Sì","No"))</f>
        <v/>
      </c>
    </row>
    <row r="38" customFormat="false" ht="15" hidden="false" customHeight="false" outlineLevel="0" collapsed="false">
      <c r="A38" s="6" t="n">
        <v>33</v>
      </c>
      <c r="B38" s="6" t="s">
        <v>74</v>
      </c>
      <c r="C38" s="6" t="s">
        <v>75</v>
      </c>
      <c r="D38" s="6" t="s">
        <v>61</v>
      </c>
      <c r="E38" s="6" t="s">
        <v>64</v>
      </c>
      <c r="F38" s="7" t="n">
        <v>5.42</v>
      </c>
      <c r="G38" s="7" t="n">
        <v>5.42</v>
      </c>
      <c r="H38" s="6" t="s">
        <v>78</v>
      </c>
      <c r="I38" s="6" t="n">
        <v>14</v>
      </c>
      <c r="J38" s="6" t="n">
        <v>226</v>
      </c>
      <c r="K38" s="6" t="s">
        <v>30</v>
      </c>
      <c r="L38" s="8" t="s">
        <v>117</v>
      </c>
      <c r="M38" s="6" t="s">
        <v>30</v>
      </c>
      <c r="N38" s="9" t="n">
        <v>1.5</v>
      </c>
      <c r="O38" s="10" t="n">
        <v>44.979369</v>
      </c>
      <c r="P38" s="10" t="n">
        <v>9.863316</v>
      </c>
      <c r="Q38" s="11" t="str">
        <f aca="false">HYPERLINK("https://www.google.com/maps?q=44.979369,9.863316&amp;t=k","Apri")</f>
        <v>Apri</v>
      </c>
      <c r="R38" s="12" t="n">
        <f aca="false">F38*10000*$D$3</f>
        <v>433600</v>
      </c>
      <c r="S38" s="8" t="s">
        <v>129</v>
      </c>
      <c r="T38" s="13"/>
      <c r="U38" s="14"/>
      <c r="V38" s="6" t="str">
        <f aca="false">IF(U38="","",IF(U38&lt;=$D$3,"Sì","No"))</f>
        <v/>
      </c>
    </row>
    <row r="39" customFormat="false" ht="15" hidden="false" customHeight="false" outlineLevel="0" collapsed="false">
      <c r="A39" s="6" t="n">
        <v>34</v>
      </c>
      <c r="B39" s="6" t="s">
        <v>25</v>
      </c>
      <c r="C39" s="6" t="s">
        <v>26</v>
      </c>
      <c r="D39" s="6" t="s">
        <v>27</v>
      </c>
      <c r="E39" s="6" t="s">
        <v>130</v>
      </c>
      <c r="F39" s="7" t="n">
        <v>5.42</v>
      </c>
      <c r="G39" s="7" t="n">
        <v>5.42</v>
      </c>
      <c r="H39" s="6" t="s">
        <v>29</v>
      </c>
      <c r="I39" s="6" t="n">
        <v>12</v>
      </c>
      <c r="J39" s="6" t="n">
        <v>1735</v>
      </c>
      <c r="K39" s="6" t="s">
        <v>30</v>
      </c>
      <c r="L39" s="8" t="s">
        <v>25</v>
      </c>
      <c r="M39" s="6" t="s">
        <v>30</v>
      </c>
      <c r="N39" s="9" t="n">
        <v>1.9</v>
      </c>
      <c r="O39" s="10" t="n">
        <v>45.064446</v>
      </c>
      <c r="P39" s="10" t="n">
        <v>9.558344</v>
      </c>
      <c r="Q39" s="11" t="str">
        <f aca="false">HYPERLINK("https://www.google.com/maps?q=45.064446,9.558344&amp;t=k","Apri")</f>
        <v>Apri</v>
      </c>
      <c r="R39" s="12" t="n">
        <f aca="false">F39*10000*$D$3</f>
        <v>433600</v>
      </c>
      <c r="S39" s="8"/>
      <c r="T39" s="13"/>
      <c r="U39" s="14"/>
      <c r="V39" s="6" t="str">
        <f aca="false">IF(U39="","",IF(U39&lt;=$D$3,"Sì","No"))</f>
        <v/>
      </c>
    </row>
    <row r="40" customFormat="false" ht="15" hidden="false" customHeight="false" outlineLevel="0" collapsed="false">
      <c r="A40" s="6" t="n">
        <v>35</v>
      </c>
      <c r="B40" s="6" t="s">
        <v>74</v>
      </c>
      <c r="C40" s="6" t="s">
        <v>75</v>
      </c>
      <c r="D40" s="6" t="s">
        <v>61</v>
      </c>
      <c r="E40" s="6" t="s">
        <v>131</v>
      </c>
      <c r="F40" s="7" t="n">
        <v>8.21</v>
      </c>
      <c r="G40" s="7" t="n">
        <v>5.41</v>
      </c>
      <c r="H40" s="6" t="s">
        <v>78</v>
      </c>
      <c r="I40" s="6" t="n">
        <v>57</v>
      </c>
      <c r="J40" s="6" t="n">
        <v>78</v>
      </c>
      <c r="K40" s="6" t="s">
        <v>30</v>
      </c>
      <c r="L40" s="8" t="s">
        <v>117</v>
      </c>
      <c r="M40" s="6" t="s">
        <v>30</v>
      </c>
      <c r="N40" s="9" t="n">
        <v>1.8</v>
      </c>
      <c r="O40" s="10" t="n">
        <v>44.985103</v>
      </c>
      <c r="P40" s="10" t="n">
        <v>9.859048</v>
      </c>
      <c r="Q40" s="11" t="str">
        <f aca="false">HYPERLINK("https://www.google.com/maps?q=44.985103,9.859048&amp;t=k","Apri")</f>
        <v>Apri</v>
      </c>
      <c r="R40" s="12" t="n">
        <f aca="false">F40*10000*$D$3</f>
        <v>656800</v>
      </c>
      <c r="S40" s="8" t="s">
        <v>132</v>
      </c>
      <c r="T40" s="13"/>
      <c r="U40" s="14"/>
      <c r="V40" s="6" t="str">
        <f aca="false">IF(U40="","",IF(U40&lt;=$D$3,"Sì","No"))</f>
        <v/>
      </c>
    </row>
    <row r="41" customFormat="false" ht="23.85" hidden="false" customHeight="false" outlineLevel="0" collapsed="false">
      <c r="A41" s="6" t="n">
        <v>36</v>
      </c>
      <c r="B41" s="6" t="s">
        <v>114</v>
      </c>
      <c r="C41" s="6" t="s">
        <v>115</v>
      </c>
      <c r="D41" s="6" t="s">
        <v>133</v>
      </c>
      <c r="E41" s="6" t="s">
        <v>134</v>
      </c>
      <c r="F41" s="7" t="n">
        <v>6.2</v>
      </c>
      <c r="G41" s="7" t="n">
        <v>5.39</v>
      </c>
      <c r="H41" s="6" t="s">
        <v>78</v>
      </c>
      <c r="I41" s="6" t="n">
        <v>56</v>
      </c>
      <c r="J41" s="6" t="n">
        <v>127</v>
      </c>
      <c r="K41" s="6" t="s">
        <v>30</v>
      </c>
      <c r="L41" s="8" t="s">
        <v>59</v>
      </c>
      <c r="M41" s="6"/>
      <c r="N41" s="9" t="n">
        <v>3.3</v>
      </c>
      <c r="O41" s="10" t="n">
        <v>45.006448</v>
      </c>
      <c r="P41" s="10" t="n">
        <v>9.80446</v>
      </c>
      <c r="Q41" s="11" t="str">
        <f aca="false">HYPERLINK("https://www.google.com/maps?q=45.006448,9.80446&amp;t=k","Apri")</f>
        <v>Apri</v>
      </c>
      <c r="R41" s="12" t="n">
        <f aca="false">F41*10000*$D$3</f>
        <v>496000</v>
      </c>
      <c r="S41" s="8" t="s">
        <v>135</v>
      </c>
      <c r="T41" s="13"/>
      <c r="U41" s="14"/>
      <c r="V41" s="6" t="str">
        <f aca="false">IF(U41="","",IF(U41&lt;=$D$3,"Sì","No"))</f>
        <v/>
      </c>
    </row>
    <row r="42" customFormat="false" ht="15" hidden="false" customHeight="false" outlineLevel="0" collapsed="false">
      <c r="A42" s="6" t="n">
        <v>37</v>
      </c>
      <c r="B42" s="6" t="s">
        <v>56</v>
      </c>
      <c r="C42" s="6" t="s">
        <v>57</v>
      </c>
      <c r="D42" s="6" t="s">
        <v>102</v>
      </c>
      <c r="E42" s="6" t="s">
        <v>102</v>
      </c>
      <c r="F42" s="7" t="n">
        <v>5.37</v>
      </c>
      <c r="G42" s="7" t="n">
        <v>5.37</v>
      </c>
      <c r="H42" s="6" t="s">
        <v>29</v>
      </c>
      <c r="I42" s="6" t="n">
        <v>10</v>
      </c>
      <c r="J42" s="6" t="n">
        <v>676</v>
      </c>
      <c r="K42" s="6" t="s">
        <v>30</v>
      </c>
      <c r="L42" s="8" t="s">
        <v>25</v>
      </c>
      <c r="M42" s="6" t="s">
        <v>30</v>
      </c>
      <c r="N42" s="9" t="n">
        <v>1.6</v>
      </c>
      <c r="O42" s="10" t="n">
        <v>45.065028</v>
      </c>
      <c r="P42" s="10" t="n">
        <v>9.590605</v>
      </c>
      <c r="Q42" s="11" t="str">
        <f aca="false">HYPERLINK("https://www.google.com/maps?q=45.065028,9.590605&amp;t=k","Apri")</f>
        <v>Apri</v>
      </c>
      <c r="R42" s="12" t="n">
        <f aca="false">F42*10000*$D$3</f>
        <v>429600</v>
      </c>
      <c r="S42" s="8" t="s">
        <v>136</v>
      </c>
      <c r="T42" s="13"/>
      <c r="U42" s="14"/>
      <c r="V42" s="6" t="str">
        <f aca="false">IF(U42="","",IF(U42&lt;=$D$3,"Sì","No"))</f>
        <v/>
      </c>
    </row>
    <row r="43" customFormat="false" ht="15" hidden="false" customHeight="false" outlineLevel="0" collapsed="false">
      <c r="A43" s="6" t="n">
        <v>38</v>
      </c>
      <c r="B43" s="6" t="s">
        <v>74</v>
      </c>
      <c r="C43" s="6" t="s">
        <v>75</v>
      </c>
      <c r="D43" s="6" t="s">
        <v>84</v>
      </c>
      <c r="E43" s="6" t="s">
        <v>137</v>
      </c>
      <c r="F43" s="7" t="n">
        <v>11.07</v>
      </c>
      <c r="G43" s="7" t="n">
        <v>5.35</v>
      </c>
      <c r="H43" s="6" t="s">
        <v>78</v>
      </c>
      <c r="I43" s="6" t="n">
        <v>96</v>
      </c>
      <c r="J43" s="6" t="n">
        <v>278</v>
      </c>
      <c r="K43" s="6" t="s">
        <v>30</v>
      </c>
      <c r="L43" s="8" t="s">
        <v>117</v>
      </c>
      <c r="M43" s="6" t="s">
        <v>30</v>
      </c>
      <c r="N43" s="9" t="n">
        <v>2.2</v>
      </c>
      <c r="O43" s="10" t="n">
        <v>44.987516</v>
      </c>
      <c r="P43" s="10" t="n">
        <v>9.838506</v>
      </c>
      <c r="Q43" s="11" t="str">
        <f aca="false">HYPERLINK("https://www.google.com/maps?q=44.987516,9.838506&amp;t=k","Apri")</f>
        <v>Apri</v>
      </c>
      <c r="R43" s="12" t="n">
        <f aca="false">F43*10000*$D$3</f>
        <v>885600</v>
      </c>
      <c r="S43" s="8" t="s">
        <v>138</v>
      </c>
      <c r="T43" s="13"/>
      <c r="U43" s="14"/>
      <c r="V43" s="6" t="str">
        <f aca="false">IF(U43="","",IF(U43&lt;=$D$3,"Sì","No"))</f>
        <v/>
      </c>
    </row>
    <row r="44" customFormat="false" ht="15" hidden="false" customHeight="false" outlineLevel="0" collapsed="false">
      <c r="A44" s="6" t="n">
        <v>39</v>
      </c>
      <c r="B44" s="6" t="s">
        <v>114</v>
      </c>
      <c r="C44" s="6" t="s">
        <v>115</v>
      </c>
      <c r="D44" s="6" t="s">
        <v>27</v>
      </c>
      <c r="E44" s="6" t="s">
        <v>38</v>
      </c>
      <c r="F44" s="7" t="n">
        <v>6.18</v>
      </c>
      <c r="G44" s="7" t="n">
        <v>5.31</v>
      </c>
      <c r="H44" s="6" t="s">
        <v>78</v>
      </c>
      <c r="I44" s="6" t="n">
        <v>58</v>
      </c>
      <c r="J44" s="6" t="n">
        <v>150</v>
      </c>
      <c r="K44" s="6" t="s">
        <v>30</v>
      </c>
      <c r="L44" s="8" t="s">
        <v>59</v>
      </c>
      <c r="M44" s="6"/>
      <c r="N44" s="9" t="n">
        <v>4.1</v>
      </c>
      <c r="O44" s="10" t="n">
        <v>45.002674</v>
      </c>
      <c r="P44" s="10" t="n">
        <v>9.813984</v>
      </c>
      <c r="Q44" s="11" t="str">
        <f aca="false">HYPERLINK("https://www.google.com/maps?q=45.002674,9.813984&amp;t=k","Apri")</f>
        <v>Apri</v>
      </c>
      <c r="R44" s="12" t="n">
        <f aca="false">F44*10000*$D$3</f>
        <v>494400</v>
      </c>
      <c r="S44" s="8" t="s">
        <v>139</v>
      </c>
      <c r="T44" s="13"/>
      <c r="U44" s="14"/>
      <c r="V44" s="6" t="str">
        <f aca="false">IF(U44="","",IF(U44&lt;=$D$3,"Sì","No"))</f>
        <v/>
      </c>
    </row>
    <row r="45" customFormat="false" ht="15" hidden="false" customHeight="false" outlineLevel="0" collapsed="false">
      <c r="A45" s="6" t="n">
        <v>40</v>
      </c>
      <c r="B45" s="6" t="s">
        <v>66</v>
      </c>
      <c r="C45" s="6" t="s">
        <v>67</v>
      </c>
      <c r="D45" s="6" t="s">
        <v>68</v>
      </c>
      <c r="E45" s="6" t="s">
        <v>140</v>
      </c>
      <c r="F45" s="7" t="n">
        <v>5.16</v>
      </c>
      <c r="G45" s="7" t="n">
        <v>5.16</v>
      </c>
      <c r="H45" s="6" t="s">
        <v>29</v>
      </c>
      <c r="I45" s="6" t="n">
        <v>18</v>
      </c>
      <c r="J45" s="6" t="n">
        <v>992</v>
      </c>
      <c r="K45" s="6" t="s">
        <v>36</v>
      </c>
      <c r="L45" s="8" t="s">
        <v>69</v>
      </c>
      <c r="M45" s="6" t="s">
        <v>30</v>
      </c>
      <c r="N45" s="9" t="n">
        <v>3.2</v>
      </c>
      <c r="O45" s="10" t="n">
        <v>45.067571</v>
      </c>
      <c r="P45" s="10" t="n">
        <v>9.95946</v>
      </c>
      <c r="Q45" s="11" t="str">
        <f aca="false">HYPERLINK("https://www.google.com/maps?q=45.067571,9.95946&amp;t=k","Apri")</f>
        <v>Apri</v>
      </c>
      <c r="R45" s="12" t="n">
        <f aca="false">F45*10000*$D$3</f>
        <v>412800</v>
      </c>
      <c r="S45" s="8"/>
      <c r="T45" s="13"/>
      <c r="U45" s="14"/>
      <c r="V45" s="6" t="str">
        <f aca="false">IF(U45="","",IF(U45&lt;=$D$3,"Sì","No"))</f>
        <v/>
      </c>
    </row>
    <row r="46" customFormat="false" ht="15" hidden="false" customHeight="false" outlineLevel="0" collapsed="false">
      <c r="A46" s="6" t="n">
        <v>41</v>
      </c>
      <c r="B46" s="6" t="s">
        <v>74</v>
      </c>
      <c r="C46" s="6" t="s">
        <v>75</v>
      </c>
      <c r="D46" s="6" t="s">
        <v>84</v>
      </c>
      <c r="E46" s="6" t="s">
        <v>141</v>
      </c>
      <c r="F46" s="7" t="n">
        <v>5.14</v>
      </c>
      <c r="G46" s="7" t="n">
        <v>5.14</v>
      </c>
      <c r="H46" s="6" t="s">
        <v>78</v>
      </c>
      <c r="I46" s="6" t="n">
        <v>62</v>
      </c>
      <c r="J46" s="6" t="n">
        <v>12</v>
      </c>
      <c r="K46" s="6" t="s">
        <v>36</v>
      </c>
      <c r="L46" s="8" t="s">
        <v>117</v>
      </c>
      <c r="M46" s="6" t="s">
        <v>30</v>
      </c>
      <c r="N46" s="9" t="n">
        <v>2.3</v>
      </c>
      <c r="O46" s="10" t="n">
        <v>44.989923</v>
      </c>
      <c r="P46" s="10" t="n">
        <v>9.84549</v>
      </c>
      <c r="Q46" s="11" t="str">
        <f aca="false">HYPERLINK("https://www.google.com/maps?q=44.989923,9.84549&amp;t=k","Apri")</f>
        <v>Apri</v>
      </c>
      <c r="R46" s="12" t="n">
        <f aca="false">F46*10000*$D$3</f>
        <v>411200</v>
      </c>
      <c r="S46" s="8" t="s">
        <v>142</v>
      </c>
      <c r="T46" s="13"/>
      <c r="U46" s="14"/>
      <c r="V46" s="6" t="str">
        <f aca="false">IF(U46="","",IF(U46&lt;=$D$3,"Sì","No"))</f>
        <v/>
      </c>
    </row>
    <row r="47" customFormat="false" ht="15" hidden="false" customHeight="false" outlineLevel="0" collapsed="false">
      <c r="A47" s="6" t="n">
        <v>42</v>
      </c>
      <c r="B47" s="6" t="s">
        <v>143</v>
      </c>
      <c r="C47" s="6" t="s">
        <v>144</v>
      </c>
      <c r="D47" s="6" t="s">
        <v>64</v>
      </c>
      <c r="E47" s="6" t="s">
        <v>145</v>
      </c>
      <c r="F47" s="7" t="n">
        <v>5.04</v>
      </c>
      <c r="G47" s="7" t="n">
        <v>5.04</v>
      </c>
      <c r="H47" s="6" t="s">
        <v>78</v>
      </c>
      <c r="I47" s="6" t="n">
        <v>23</v>
      </c>
      <c r="J47" s="6" t="n">
        <v>303</v>
      </c>
      <c r="K47" s="6" t="s">
        <v>30</v>
      </c>
      <c r="L47" s="8" t="s">
        <v>146</v>
      </c>
      <c r="M47" s="6" t="s">
        <v>30</v>
      </c>
      <c r="N47" s="9" t="n">
        <v>3.1</v>
      </c>
      <c r="O47" s="10" t="n">
        <v>44.953508</v>
      </c>
      <c r="P47" s="10" t="n">
        <v>9.922945</v>
      </c>
      <c r="Q47" s="11" t="str">
        <f aca="false">HYPERLINK("https://www.google.com/maps?q=44.953508,9.922945&amp;t=k","Apri")</f>
        <v>Apri</v>
      </c>
      <c r="R47" s="12" t="n">
        <f aca="false">F47*10000*$D$3</f>
        <v>403200</v>
      </c>
      <c r="S47" s="8"/>
      <c r="T47" s="13"/>
      <c r="U47" s="14"/>
      <c r="V47" s="6" t="str">
        <f aca="false">IF(U47="","",IF(U47&lt;=$D$3,"Sì","No"))</f>
        <v/>
      </c>
    </row>
    <row r="48" customFormat="false" ht="15" hidden="false" customHeight="false" outlineLevel="0" collapsed="false">
      <c r="A48" s="6" t="n">
        <v>43</v>
      </c>
      <c r="B48" s="6" t="s">
        <v>74</v>
      </c>
      <c r="C48" s="6" t="s">
        <v>75</v>
      </c>
      <c r="D48" s="6" t="s">
        <v>61</v>
      </c>
      <c r="E48" s="6" t="s">
        <v>147</v>
      </c>
      <c r="F48" s="7" t="n">
        <v>5.01</v>
      </c>
      <c r="G48" s="7" t="n">
        <v>5.01</v>
      </c>
      <c r="H48" s="6" t="s">
        <v>78</v>
      </c>
      <c r="I48" s="6" t="n">
        <v>82</v>
      </c>
      <c r="J48" s="6" t="n">
        <v>64</v>
      </c>
      <c r="K48" s="6" t="s">
        <v>36</v>
      </c>
      <c r="L48" s="8" t="s">
        <v>117</v>
      </c>
      <c r="M48" s="6" t="s">
        <v>30</v>
      </c>
      <c r="N48" s="9" t="n">
        <v>1.4</v>
      </c>
      <c r="O48" s="10" t="n">
        <v>44.980825</v>
      </c>
      <c r="P48" s="10" t="n">
        <v>9.858222</v>
      </c>
      <c r="Q48" s="11" t="str">
        <f aca="false">HYPERLINK("https://www.google.com/maps?q=44.980825,9.858222&amp;t=k","Apri")</f>
        <v>Apri</v>
      </c>
      <c r="R48" s="12" t="n">
        <f aca="false">F48*10000*$D$3</f>
        <v>400800</v>
      </c>
      <c r="S48" s="8" t="s">
        <v>148</v>
      </c>
      <c r="T48" s="13"/>
      <c r="U48" s="14"/>
      <c r="V48" s="6" t="str">
        <f aca="false">IF(U48="","",IF(U48&lt;=$D$3,"Sì","No"))</f>
        <v/>
      </c>
    </row>
    <row r="49" customFormat="false" ht="15" hidden="false" customHeight="false" outlineLevel="0" collapsed="false">
      <c r="A49" s="6" t="n">
        <v>44</v>
      </c>
      <c r="B49" s="6" t="s">
        <v>44</v>
      </c>
      <c r="C49" s="6" t="s">
        <v>45</v>
      </c>
      <c r="D49" s="6" t="s">
        <v>47</v>
      </c>
      <c r="E49" s="6" t="s">
        <v>46</v>
      </c>
      <c r="F49" s="7" t="n">
        <v>5.01</v>
      </c>
      <c r="G49" s="7" t="n">
        <v>5.01</v>
      </c>
      <c r="H49" s="6" t="s">
        <v>29</v>
      </c>
      <c r="I49" s="6" t="n">
        <v>20</v>
      </c>
      <c r="J49" s="6" t="n">
        <v>308</v>
      </c>
      <c r="K49" s="6" t="s">
        <v>36</v>
      </c>
      <c r="L49" s="8" t="s">
        <v>48</v>
      </c>
      <c r="M49" s="6" t="s">
        <v>30</v>
      </c>
      <c r="N49" s="9" t="n">
        <v>0.6</v>
      </c>
      <c r="O49" s="10" t="n">
        <v>45.056629</v>
      </c>
      <c r="P49" s="10" t="n">
        <v>9.914016</v>
      </c>
      <c r="Q49" s="11" t="str">
        <f aca="false">HYPERLINK("https://www.google.com/maps?q=45.056629,9.914016&amp;t=k","Apri")</f>
        <v>Apri</v>
      </c>
      <c r="R49" s="12" t="n">
        <f aca="false">F49*10000*$D$3</f>
        <v>400800</v>
      </c>
      <c r="S49" s="8" t="s">
        <v>149</v>
      </c>
      <c r="T49" s="13"/>
      <c r="U49" s="14"/>
      <c r="V49" s="6" t="str">
        <f aca="false">IF(U49="","",IF(U49&lt;=$D$3,"Sì","No"))</f>
        <v/>
      </c>
    </row>
    <row r="50" customFormat="false" ht="15" hidden="false" customHeight="false" outlineLevel="0" collapsed="false">
      <c r="A50" s="6" t="n">
        <v>45</v>
      </c>
      <c r="B50" s="6" t="s">
        <v>143</v>
      </c>
      <c r="C50" s="6" t="s">
        <v>144</v>
      </c>
      <c r="D50" s="6" t="s">
        <v>84</v>
      </c>
      <c r="E50" s="6" t="s">
        <v>150</v>
      </c>
      <c r="F50" s="7" t="n">
        <v>4.93</v>
      </c>
      <c r="G50" s="7" t="n">
        <v>4.93</v>
      </c>
      <c r="H50" s="6" t="s">
        <v>78</v>
      </c>
      <c r="I50" s="6" t="n">
        <v>16</v>
      </c>
      <c r="J50" s="6" t="n">
        <v>200</v>
      </c>
      <c r="K50" s="6" t="s">
        <v>30</v>
      </c>
      <c r="L50" s="8" t="s">
        <v>79</v>
      </c>
      <c r="M50" s="6" t="s">
        <v>30</v>
      </c>
      <c r="N50" s="9" t="n">
        <v>2.5</v>
      </c>
      <c r="O50" s="10" t="n">
        <v>44.956972</v>
      </c>
      <c r="P50" s="10" t="n">
        <v>9.916694</v>
      </c>
      <c r="Q50" s="11" t="str">
        <f aca="false">HYPERLINK("https://www.google.com/maps?q=44.956972,9.916694&amp;t=k","Apri")</f>
        <v>Apri</v>
      </c>
      <c r="R50" s="12" t="n">
        <f aca="false">F50*10000*$D$3</f>
        <v>394400</v>
      </c>
      <c r="S50" s="8" t="s">
        <v>151</v>
      </c>
      <c r="T50" s="13"/>
      <c r="U50" s="14"/>
      <c r="V50" s="6" t="str">
        <f aca="false">IF(U50="","",IF(U50&lt;=$D$3,"Sì","No"))</f>
        <v/>
      </c>
    </row>
    <row r="51" customFormat="false" ht="15" hidden="false" customHeight="false" outlineLevel="0" collapsed="false">
      <c r="A51" s="6" t="n">
        <v>46</v>
      </c>
      <c r="B51" s="6" t="s">
        <v>143</v>
      </c>
      <c r="C51" s="6" t="s">
        <v>144</v>
      </c>
      <c r="D51" s="6" t="s">
        <v>84</v>
      </c>
      <c r="E51" s="6" t="s">
        <v>152</v>
      </c>
      <c r="F51" s="7" t="n">
        <v>5.04</v>
      </c>
      <c r="G51" s="7" t="n">
        <v>4.88</v>
      </c>
      <c r="H51" s="6" t="s">
        <v>78</v>
      </c>
      <c r="I51" s="6" t="n">
        <v>12</v>
      </c>
      <c r="J51" s="6" t="n">
        <v>314</v>
      </c>
      <c r="K51" s="6" t="s">
        <v>30</v>
      </c>
      <c r="L51" s="8" t="s">
        <v>79</v>
      </c>
      <c r="M51" s="6" t="s">
        <v>30</v>
      </c>
      <c r="N51" s="9" t="n">
        <v>2.2</v>
      </c>
      <c r="O51" s="10" t="n">
        <v>44.957977</v>
      </c>
      <c r="P51" s="10" t="n">
        <v>9.912528</v>
      </c>
      <c r="Q51" s="11" t="str">
        <f aca="false">HYPERLINK("https://www.google.com/maps?q=44.957977,9.912528&amp;t=k","Apri")</f>
        <v>Apri</v>
      </c>
      <c r="R51" s="12" t="n">
        <f aca="false">F51*10000*$D$3</f>
        <v>403200</v>
      </c>
      <c r="S51" s="8" t="s">
        <v>153</v>
      </c>
      <c r="T51" s="13"/>
      <c r="U51" s="14"/>
      <c r="V51" s="6" t="str">
        <f aca="false">IF(U51="","",IF(U51&lt;=$D$3,"Sì","No"))</f>
        <v/>
      </c>
    </row>
    <row r="52" customFormat="false" ht="23.85" hidden="false" customHeight="false" outlineLevel="0" collapsed="false">
      <c r="A52" s="6" t="n">
        <v>47</v>
      </c>
      <c r="B52" s="6" t="s">
        <v>86</v>
      </c>
      <c r="C52" s="6" t="s">
        <v>87</v>
      </c>
      <c r="D52" s="6" t="s">
        <v>91</v>
      </c>
      <c r="E52" s="6" t="s">
        <v>154</v>
      </c>
      <c r="F52" s="7" t="n">
        <v>5.14</v>
      </c>
      <c r="G52" s="7" t="n">
        <v>4.86</v>
      </c>
      <c r="H52" s="6" t="s">
        <v>78</v>
      </c>
      <c r="I52" s="6" t="n">
        <v>50</v>
      </c>
      <c r="J52" s="6" t="n">
        <v>83</v>
      </c>
      <c r="K52" s="6" t="s">
        <v>36</v>
      </c>
      <c r="L52" s="8" t="s">
        <v>93</v>
      </c>
      <c r="M52" s="6" t="s">
        <v>30</v>
      </c>
      <c r="N52" s="9" t="n">
        <v>0.7</v>
      </c>
      <c r="O52" s="10" t="n">
        <v>45.056553</v>
      </c>
      <c r="P52" s="10" t="n">
        <v>9.740095</v>
      </c>
      <c r="Q52" s="11" t="str">
        <f aca="false">HYPERLINK("https://www.google.com/maps?q=45.056553,9.740095&amp;t=k","Apri")</f>
        <v>Apri</v>
      </c>
      <c r="R52" s="12" t="n">
        <f aca="false">F52*10000*$D$3</f>
        <v>411200</v>
      </c>
      <c r="S52" s="8" t="s">
        <v>155</v>
      </c>
      <c r="T52" s="13"/>
      <c r="U52" s="14"/>
      <c r="V52" s="6" t="str">
        <f aca="false">IF(U52="","",IF(U52&lt;=$D$3,"Sì","No"))</f>
        <v/>
      </c>
    </row>
    <row r="53" customFormat="false" ht="15" hidden="false" customHeight="false" outlineLevel="0" collapsed="false">
      <c r="A53" s="6" t="n">
        <v>48</v>
      </c>
      <c r="B53" s="6" t="s">
        <v>74</v>
      </c>
      <c r="C53" s="6" t="s">
        <v>75</v>
      </c>
      <c r="D53" s="6" t="s">
        <v>76</v>
      </c>
      <c r="E53" s="6" t="s">
        <v>156</v>
      </c>
      <c r="F53" s="7" t="n">
        <v>4.77</v>
      </c>
      <c r="G53" s="7" t="n">
        <v>4.77</v>
      </c>
      <c r="H53" s="6" t="s">
        <v>78</v>
      </c>
      <c r="I53" s="6" t="n">
        <v>18</v>
      </c>
      <c r="J53" s="6" t="n">
        <v>347</v>
      </c>
      <c r="K53" s="6" t="s">
        <v>30</v>
      </c>
      <c r="L53" s="8" t="s">
        <v>79</v>
      </c>
      <c r="M53" s="6" t="s">
        <v>30</v>
      </c>
      <c r="N53" s="9" t="n">
        <v>0.6</v>
      </c>
      <c r="O53" s="10" t="n">
        <v>44.971448</v>
      </c>
      <c r="P53" s="10" t="n">
        <v>9.882303</v>
      </c>
      <c r="Q53" s="11" t="str">
        <f aca="false">HYPERLINK("https://www.google.com/maps?q=44.971448,9.882303&amp;t=k","Apri")</f>
        <v>Apri</v>
      </c>
      <c r="R53" s="12" t="n">
        <f aca="false">F53*10000*$D$3</f>
        <v>381600</v>
      </c>
      <c r="S53" s="8" t="s">
        <v>157</v>
      </c>
      <c r="T53" s="13"/>
      <c r="U53" s="14"/>
      <c r="V53" s="6" t="str">
        <f aca="false">IF(U53="","",IF(U53&lt;=$D$3,"Sì","No"))</f>
        <v/>
      </c>
    </row>
    <row r="54" customFormat="false" ht="15" hidden="false" customHeight="false" outlineLevel="0" collapsed="false">
      <c r="A54" s="6" t="n">
        <v>49</v>
      </c>
      <c r="B54" s="6" t="s">
        <v>158</v>
      </c>
      <c r="C54" s="6" t="s">
        <v>159</v>
      </c>
      <c r="D54" s="6" t="s">
        <v>160</v>
      </c>
      <c r="E54" s="6" t="s">
        <v>161</v>
      </c>
      <c r="F54" s="7" t="n">
        <v>4.72</v>
      </c>
      <c r="G54" s="7" t="n">
        <v>4.72</v>
      </c>
      <c r="H54" s="6" t="s">
        <v>29</v>
      </c>
      <c r="I54" s="6" t="n">
        <v>13</v>
      </c>
      <c r="J54" s="6" t="n">
        <v>744</v>
      </c>
      <c r="K54" s="6" t="s">
        <v>30</v>
      </c>
      <c r="L54" s="8" t="s">
        <v>162</v>
      </c>
      <c r="M54" s="6" t="s">
        <v>30</v>
      </c>
      <c r="N54" s="9" t="n">
        <v>0.9</v>
      </c>
      <c r="O54" s="10" t="n">
        <v>45.069647</v>
      </c>
      <c r="P54" s="10" t="n">
        <v>9.491875</v>
      </c>
      <c r="Q54" s="11" t="str">
        <f aca="false">HYPERLINK("https://www.google.com/maps?q=45.069647,9.491875&amp;t=k","Apri")</f>
        <v>Apri</v>
      </c>
      <c r="R54" s="12" t="n">
        <f aca="false">F54*10000*$D$3</f>
        <v>377600</v>
      </c>
      <c r="S54" s="8" t="s">
        <v>163</v>
      </c>
      <c r="T54" s="13"/>
      <c r="U54" s="14"/>
      <c r="V54" s="6" t="str">
        <f aca="false">IF(U54="","",IF(U54&lt;=$D$3,"Sì","No"))</f>
        <v/>
      </c>
    </row>
    <row r="55" customFormat="false" ht="15" hidden="false" customHeight="false" outlineLevel="0" collapsed="false">
      <c r="A55" s="6" t="n">
        <v>50</v>
      </c>
      <c r="B55" s="6" t="s">
        <v>66</v>
      </c>
      <c r="C55" s="6" t="s">
        <v>67</v>
      </c>
      <c r="D55" s="6" t="s">
        <v>64</v>
      </c>
      <c r="E55" s="6" t="s">
        <v>164</v>
      </c>
      <c r="F55" s="7" t="n">
        <v>4.69</v>
      </c>
      <c r="G55" s="7" t="n">
        <v>4.69</v>
      </c>
      <c r="H55" s="6" t="s">
        <v>29</v>
      </c>
      <c r="I55" s="6" t="n">
        <v>17</v>
      </c>
      <c r="J55" s="6" t="n">
        <v>2034</v>
      </c>
      <c r="K55" s="6" t="s">
        <v>36</v>
      </c>
      <c r="L55" s="8" t="s">
        <v>165</v>
      </c>
      <c r="M55" s="6" t="s">
        <v>30</v>
      </c>
      <c r="N55" s="9" t="n">
        <v>8.3</v>
      </c>
      <c r="O55" s="10" t="n">
        <v>45.077232</v>
      </c>
      <c r="P55" s="10" t="n">
        <v>9.970022</v>
      </c>
      <c r="Q55" s="11" t="str">
        <f aca="false">HYPERLINK("https://www.google.com/maps?q=45.077232,9.970022&amp;t=k","Apri")</f>
        <v>Apri</v>
      </c>
      <c r="R55" s="12" t="n">
        <f aca="false">F55*10000*$D$3</f>
        <v>375200</v>
      </c>
      <c r="S55" s="8"/>
      <c r="T55" s="13"/>
      <c r="U55" s="14"/>
      <c r="V55" s="6" t="str">
        <f aca="false">IF(U55="","",IF(U55&lt;=$D$3,"Sì","No"))</f>
        <v/>
      </c>
    </row>
    <row r="56" customFormat="false" ht="15" hidden="false" customHeight="false" outlineLevel="0" collapsed="false">
      <c r="E56" s="3" t="s">
        <v>166</v>
      </c>
      <c r="F56" s="15" t="n">
        <f aca="false">SUM(F6:F55)</f>
        <v>388.43</v>
      </c>
      <c r="G56" s="15" t="n">
        <f aca="false">SUM(G6:G55)</f>
        <v>315.77</v>
      </c>
      <c r="R56" s="16" t="n">
        <f aca="false">SUM(R6:R55)</f>
        <v>31074400</v>
      </c>
    </row>
    <row r="58" customFormat="false" ht="15" hidden="false" customHeight="false" outlineLevel="0" collapsed="false">
      <c r="A58" s="2" t="s">
        <v>167</v>
      </c>
    </row>
    <row r="59" customFormat="false" ht="15" hidden="false" customHeight="false" outlineLevel="0" collapsed="false">
      <c r="A59" s="2" t="s">
        <v>168</v>
      </c>
    </row>
    <row r="60" customFormat="false" ht="15" hidden="false" customHeight="false" outlineLevel="0" collapsed="false">
      <c r="A60" s="2" t="s">
        <v>169</v>
      </c>
    </row>
    <row r="61" customFormat="false" ht="15" hidden="false" customHeight="false" outlineLevel="0" collapsed="false">
      <c r="A61" s="2" t="s">
        <v>170</v>
      </c>
    </row>
  </sheetData>
  <autoFilter ref="A5:V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8" min="6" style="0" width="9"/>
    <col collapsed="false" customWidth="true" hidden="false" outlineLevel="0" max="9" min="9" style="0" width="8"/>
    <col collapsed="false" customWidth="true" hidden="false" outlineLevel="0" max="11" min="10" style="0" width="9"/>
    <col collapsed="false" customWidth="true" hidden="false" outlineLevel="0" max="12" min="12" style="0" width="8"/>
    <col collapsed="false" customWidth="true" hidden="false" outlineLevel="0" max="13" min="13" style="0" width="20"/>
    <col collapsed="false" customWidth="true" hidden="false" outlineLevel="0" max="14" min="14" style="0" width="7"/>
    <col collapsed="false" customWidth="true" hidden="false" outlineLevel="0" max="15" min="15" style="0" width="9"/>
    <col collapsed="false" customWidth="true" hidden="false" outlineLevel="0" max="17" min="16" style="0" width="10"/>
    <col collapsed="false" customWidth="true" hidden="false" outlineLevel="0" max="18" min="18" style="0" width="6"/>
    <col collapsed="false" customWidth="true" hidden="false" outlineLevel="0" max="19" min="19" style="0" width="13"/>
    <col collapsed="false" customWidth="true" hidden="false" outlineLevel="0" max="20" min="20" style="0" width="60"/>
    <col collapsed="false" customWidth="true" hidden="false" outlineLevel="0" max="21" min="21" style="0" width="22"/>
    <col collapsed="false" customWidth="true" hidden="false" outlineLevel="0" max="22" min="22" style="0" width="10"/>
    <col collapsed="false" customWidth="true" hidden="false" outlineLevel="0" max="23" min="23" style="0" width="8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D3" s="4" t="n">
        <v>8</v>
      </c>
    </row>
    <row r="5" customFormat="false" ht="51.75" hidden="false" customHeight="true" outlineLevel="0" collapsed="false">
      <c r="A5" s="5" t="s">
        <v>3</v>
      </c>
      <c r="B5" s="5" t="s">
        <v>172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  <c r="W5" s="5" t="s">
        <v>24</v>
      </c>
    </row>
    <row r="6" customFormat="false" ht="23.85" hidden="false" customHeight="false" outlineLevel="0" collapsed="false">
      <c r="A6" s="6" t="n">
        <v>1</v>
      </c>
      <c r="B6" s="8" t="s">
        <v>173</v>
      </c>
      <c r="C6" s="6" t="s">
        <v>74</v>
      </c>
      <c r="D6" s="6" t="s">
        <v>75</v>
      </c>
      <c r="E6" s="6" t="s">
        <v>174</v>
      </c>
      <c r="F6" s="6" t="s">
        <v>58</v>
      </c>
      <c r="G6" s="7" t="n">
        <v>4.62</v>
      </c>
      <c r="H6" s="7" t="n">
        <v>4.62</v>
      </c>
      <c r="I6" s="6" t="s">
        <v>78</v>
      </c>
      <c r="J6" s="6" t="n">
        <v>74</v>
      </c>
      <c r="K6" s="6" t="n">
        <v>68</v>
      </c>
      <c r="L6" s="6" t="s">
        <v>30</v>
      </c>
      <c r="M6" s="8" t="s">
        <v>117</v>
      </c>
      <c r="N6" s="6" t="s">
        <v>30</v>
      </c>
      <c r="O6" s="9" t="n">
        <v>2.8</v>
      </c>
      <c r="P6" s="10" t="n">
        <v>44.993467</v>
      </c>
      <c r="Q6" s="10" t="n">
        <v>9.835876</v>
      </c>
      <c r="R6" s="11" t="str">
        <f aca="false">HYPERLINK("https://www.google.com/maps?q=44.993467,9.835876&amp;t=k","Apri")</f>
        <v>Apri</v>
      </c>
      <c r="S6" s="12" t="n">
        <f aca="false">G6*10000*$D$3</f>
        <v>369600</v>
      </c>
      <c r="T6" s="8" t="s">
        <v>175</v>
      </c>
      <c r="U6" s="13"/>
      <c r="V6" s="14"/>
      <c r="W6" s="6" t="str">
        <f aca="false">IF(V6="","",IF(V6&lt;=$D$3,"Sì","No"))</f>
        <v/>
      </c>
    </row>
    <row r="7" customFormat="false" ht="23.85" hidden="false" customHeight="false" outlineLevel="0" collapsed="false">
      <c r="A7" s="6" t="n">
        <v>2</v>
      </c>
      <c r="B7" s="8" t="s">
        <v>173</v>
      </c>
      <c r="C7" s="6" t="s">
        <v>108</v>
      </c>
      <c r="D7" s="6" t="s">
        <v>109</v>
      </c>
      <c r="E7" s="6" t="s">
        <v>110</v>
      </c>
      <c r="F7" s="6" t="s">
        <v>77</v>
      </c>
      <c r="G7" s="7" t="n">
        <v>5.17</v>
      </c>
      <c r="H7" s="7" t="n">
        <v>4.58</v>
      </c>
      <c r="I7" s="6" t="s">
        <v>29</v>
      </c>
      <c r="J7" s="6" t="n">
        <v>8</v>
      </c>
      <c r="K7" s="6" t="n">
        <v>5</v>
      </c>
      <c r="L7" s="6" t="s">
        <v>30</v>
      </c>
      <c r="M7" s="8" t="s">
        <v>59</v>
      </c>
      <c r="N7" s="6"/>
      <c r="O7" s="9" t="n">
        <v>7.5</v>
      </c>
      <c r="P7" s="10" t="n">
        <v>45.082224</v>
      </c>
      <c r="Q7" s="10" t="n">
        <v>9.418041</v>
      </c>
      <c r="R7" s="11" t="str">
        <f aca="false">HYPERLINK("https://www.google.com/maps?q=45.082224,9.418041&amp;t=k","Apri")</f>
        <v>Apri</v>
      </c>
      <c r="S7" s="12" t="n">
        <f aca="false">G7*10000*$D$3</f>
        <v>413600</v>
      </c>
      <c r="T7" s="8" t="s">
        <v>176</v>
      </c>
      <c r="U7" s="13"/>
      <c r="V7" s="14"/>
      <c r="W7" s="6" t="str">
        <f aca="false">IF(V7="","",IF(V7&lt;=$D$3,"Sì","No"))</f>
        <v/>
      </c>
    </row>
    <row r="8" customFormat="false" ht="23.85" hidden="false" customHeight="false" outlineLevel="0" collapsed="false">
      <c r="A8" s="6" t="n">
        <v>3</v>
      </c>
      <c r="B8" s="8" t="s">
        <v>173</v>
      </c>
      <c r="C8" s="6" t="s">
        <v>143</v>
      </c>
      <c r="D8" s="6" t="s">
        <v>144</v>
      </c>
      <c r="E8" s="6" t="s">
        <v>84</v>
      </c>
      <c r="F8" s="6" t="s">
        <v>177</v>
      </c>
      <c r="G8" s="7" t="n">
        <v>4.53</v>
      </c>
      <c r="H8" s="7" t="n">
        <v>4.53</v>
      </c>
      <c r="I8" s="6" t="s">
        <v>78</v>
      </c>
      <c r="J8" s="6" t="n">
        <v>21</v>
      </c>
      <c r="K8" s="6" t="n">
        <v>18</v>
      </c>
      <c r="L8" s="6" t="s">
        <v>30</v>
      </c>
      <c r="M8" s="8" t="s">
        <v>79</v>
      </c>
      <c r="N8" s="6" t="s">
        <v>30</v>
      </c>
      <c r="O8" s="9" t="n">
        <v>2.4</v>
      </c>
      <c r="P8" s="10" t="n">
        <v>44.958663</v>
      </c>
      <c r="Q8" s="10" t="n">
        <v>9.917406</v>
      </c>
      <c r="R8" s="11" t="str">
        <f aca="false">HYPERLINK("https://www.google.com/maps?q=44.958663,9.917406&amp;t=k","Apri")</f>
        <v>Apri</v>
      </c>
      <c r="S8" s="12" t="n">
        <f aca="false">G8*10000*$D$3</f>
        <v>362400</v>
      </c>
      <c r="T8" s="8" t="s">
        <v>178</v>
      </c>
      <c r="U8" s="13"/>
      <c r="V8" s="14"/>
      <c r="W8" s="6" t="str">
        <f aca="false">IF(V8="","",IF(V8&lt;=$D$3,"Sì","No"))</f>
        <v/>
      </c>
    </row>
    <row r="9" customFormat="false" ht="23.85" hidden="false" customHeight="false" outlineLevel="0" collapsed="false">
      <c r="A9" s="6" t="n">
        <v>4</v>
      </c>
      <c r="B9" s="8" t="s">
        <v>173</v>
      </c>
      <c r="C9" s="6" t="s">
        <v>81</v>
      </c>
      <c r="D9" s="6" t="s">
        <v>82</v>
      </c>
      <c r="E9" s="6" t="s">
        <v>83</v>
      </c>
      <c r="F9" s="6" t="s">
        <v>160</v>
      </c>
      <c r="G9" s="7" t="n">
        <v>5.06</v>
      </c>
      <c r="H9" s="7" t="n">
        <v>4.5</v>
      </c>
      <c r="I9" s="6" t="s">
        <v>29</v>
      </c>
      <c r="J9" s="6" t="n">
        <v>44</v>
      </c>
      <c r="K9" s="6" t="n">
        <v>17</v>
      </c>
      <c r="L9" s="6" t="s">
        <v>36</v>
      </c>
      <c r="M9" s="8" t="s">
        <v>69</v>
      </c>
      <c r="N9" s="6" t="s">
        <v>30</v>
      </c>
      <c r="O9" s="9" t="n">
        <v>1.4</v>
      </c>
      <c r="P9" s="10" t="n">
        <v>45.057976</v>
      </c>
      <c r="Q9" s="10" t="n">
        <v>9.93657</v>
      </c>
      <c r="R9" s="11" t="str">
        <f aca="false">HYPERLINK("https://www.google.com/maps?q=45.057976,9.93657&amp;t=k","Apri")</f>
        <v>Apri</v>
      </c>
      <c r="S9" s="12" t="n">
        <f aca="false">G9*10000*$D$3</f>
        <v>404800</v>
      </c>
      <c r="T9" s="8" t="s">
        <v>179</v>
      </c>
      <c r="U9" s="13"/>
      <c r="V9" s="14"/>
      <c r="W9" s="6" t="str">
        <f aca="false">IF(V9="","",IF(V9&lt;=$D$3,"Sì","No"))</f>
        <v/>
      </c>
    </row>
    <row r="10" customFormat="false" ht="23.85" hidden="false" customHeight="false" outlineLevel="0" collapsed="false">
      <c r="A10" s="6" t="n">
        <v>5</v>
      </c>
      <c r="B10" s="8" t="s">
        <v>173</v>
      </c>
      <c r="C10" s="6" t="s">
        <v>25</v>
      </c>
      <c r="D10" s="6" t="s">
        <v>26</v>
      </c>
      <c r="E10" s="6" t="s">
        <v>35</v>
      </c>
      <c r="F10" s="6" t="s">
        <v>180</v>
      </c>
      <c r="G10" s="7" t="n">
        <v>5.3</v>
      </c>
      <c r="H10" s="7" t="n">
        <v>4.48</v>
      </c>
      <c r="I10" s="6" t="s">
        <v>29</v>
      </c>
      <c r="J10" s="6" t="n">
        <v>115</v>
      </c>
      <c r="K10" s="6" t="n">
        <v>1519</v>
      </c>
      <c r="L10" s="6" t="s">
        <v>30</v>
      </c>
      <c r="M10" s="8" t="s">
        <v>25</v>
      </c>
      <c r="N10" s="6" t="s">
        <v>30</v>
      </c>
      <c r="O10" s="9" t="n">
        <v>1.6</v>
      </c>
      <c r="P10" s="10" t="n">
        <v>45.062917</v>
      </c>
      <c r="Q10" s="10" t="n">
        <v>9.560313</v>
      </c>
      <c r="R10" s="11" t="str">
        <f aca="false">HYPERLINK("https://www.google.com/maps?q=45.062917,9.560313&amp;t=k","Apri")</f>
        <v>Apri</v>
      </c>
      <c r="S10" s="12" t="n">
        <f aca="false">G10*10000*$D$3</f>
        <v>424000</v>
      </c>
      <c r="T10" s="8" t="s">
        <v>181</v>
      </c>
      <c r="U10" s="13"/>
      <c r="V10" s="14"/>
      <c r="W10" s="6" t="str">
        <f aca="false">IF(V10="","",IF(V10&lt;=$D$3,"Sì","No"))</f>
        <v/>
      </c>
    </row>
    <row r="11" customFormat="false" ht="23.85" hidden="false" customHeight="false" outlineLevel="0" collapsed="false">
      <c r="A11" s="6" t="n">
        <v>6</v>
      </c>
      <c r="B11" s="8" t="s">
        <v>173</v>
      </c>
      <c r="C11" s="6" t="s">
        <v>81</v>
      </c>
      <c r="D11" s="6" t="s">
        <v>82</v>
      </c>
      <c r="E11" s="6" t="s">
        <v>83</v>
      </c>
      <c r="F11" s="6" t="s">
        <v>111</v>
      </c>
      <c r="G11" s="7" t="n">
        <v>5.24</v>
      </c>
      <c r="H11" s="7" t="n">
        <v>4.46</v>
      </c>
      <c r="I11" s="6" t="s">
        <v>29</v>
      </c>
      <c r="J11" s="6" t="n">
        <v>102</v>
      </c>
      <c r="K11" s="6" t="n">
        <v>551</v>
      </c>
      <c r="L11" s="6" t="s">
        <v>36</v>
      </c>
      <c r="M11" s="8" t="s">
        <v>69</v>
      </c>
      <c r="N11" s="6" t="s">
        <v>30</v>
      </c>
      <c r="O11" s="9" t="n">
        <v>1.7</v>
      </c>
      <c r="P11" s="10" t="n">
        <v>45.06319</v>
      </c>
      <c r="Q11" s="10" t="n">
        <v>9.940367</v>
      </c>
      <c r="R11" s="11" t="str">
        <f aca="false">HYPERLINK("https://www.google.com/maps?q=45.06319,9.940367&amp;t=k","Apri")</f>
        <v>Apri</v>
      </c>
      <c r="S11" s="12" t="n">
        <f aca="false">G11*10000*$D$3</f>
        <v>419200</v>
      </c>
      <c r="T11" s="8" t="s">
        <v>182</v>
      </c>
      <c r="U11" s="13"/>
      <c r="V11" s="14"/>
      <c r="W11" s="6" t="str">
        <f aca="false">IF(V11="","",IF(V11&lt;=$D$3,"Sì","No"))</f>
        <v/>
      </c>
    </row>
    <row r="12" customFormat="false" ht="23.85" hidden="false" customHeight="false" outlineLevel="0" collapsed="false">
      <c r="A12" s="6" t="n">
        <v>7</v>
      </c>
      <c r="B12" s="8" t="s">
        <v>173</v>
      </c>
      <c r="C12" s="6" t="s">
        <v>143</v>
      </c>
      <c r="D12" s="6" t="s">
        <v>144</v>
      </c>
      <c r="E12" s="6" t="s">
        <v>76</v>
      </c>
      <c r="F12" s="6" t="s">
        <v>62</v>
      </c>
      <c r="G12" s="7" t="n">
        <v>4.96</v>
      </c>
      <c r="H12" s="7" t="n">
        <v>4.44</v>
      </c>
      <c r="I12" s="6" t="s">
        <v>78</v>
      </c>
      <c r="J12" s="6" t="n">
        <v>34</v>
      </c>
      <c r="K12" s="6" t="n">
        <v>306</v>
      </c>
      <c r="L12" s="6" t="s">
        <v>30</v>
      </c>
      <c r="M12" s="8" t="s">
        <v>165</v>
      </c>
      <c r="N12" s="6" t="s">
        <v>30</v>
      </c>
      <c r="O12" s="9" t="n">
        <v>7.6</v>
      </c>
      <c r="P12" s="10" t="n">
        <v>44.941347</v>
      </c>
      <c r="Q12" s="10" t="n">
        <v>9.950054</v>
      </c>
      <c r="R12" s="11" t="str">
        <f aca="false">HYPERLINK("https://www.google.com/maps?q=44.941347,9.950054&amp;t=k","Apri")</f>
        <v>Apri</v>
      </c>
      <c r="S12" s="12" t="n">
        <f aca="false">G12*10000*$D$3</f>
        <v>396800</v>
      </c>
      <c r="T12" s="8" t="s">
        <v>183</v>
      </c>
      <c r="U12" s="13"/>
      <c r="V12" s="14"/>
      <c r="W12" s="6" t="str">
        <f aca="false">IF(V12="","",IF(V12&lt;=$D$3,"Sì","No"))</f>
        <v/>
      </c>
    </row>
    <row r="13" customFormat="false" ht="23.85" hidden="false" customHeight="false" outlineLevel="0" collapsed="false">
      <c r="A13" s="6" t="n">
        <v>8</v>
      </c>
      <c r="B13" s="8" t="s">
        <v>173</v>
      </c>
      <c r="C13" s="6" t="s">
        <v>81</v>
      </c>
      <c r="D13" s="6" t="s">
        <v>82</v>
      </c>
      <c r="E13" s="6" t="s">
        <v>83</v>
      </c>
      <c r="F13" s="6" t="s">
        <v>71</v>
      </c>
      <c r="G13" s="7" t="n">
        <v>4.44</v>
      </c>
      <c r="H13" s="7" t="n">
        <v>4.44</v>
      </c>
      <c r="I13" s="6" t="s">
        <v>29</v>
      </c>
      <c r="J13" s="6" t="n">
        <v>11</v>
      </c>
      <c r="K13" s="6" t="n">
        <v>304</v>
      </c>
      <c r="L13" s="6" t="s">
        <v>36</v>
      </c>
      <c r="M13" s="8" t="s">
        <v>69</v>
      </c>
      <c r="N13" s="6" t="s">
        <v>30</v>
      </c>
      <c r="O13" s="9" t="n">
        <v>1.2</v>
      </c>
      <c r="P13" s="10" t="n">
        <v>45.060834</v>
      </c>
      <c r="Q13" s="10" t="n">
        <v>9.934042</v>
      </c>
      <c r="R13" s="11" t="str">
        <f aca="false">HYPERLINK("https://www.google.com/maps?q=45.060834,9.934042&amp;t=k","Apri")</f>
        <v>Apri</v>
      </c>
      <c r="S13" s="12" t="n">
        <f aca="false">G13*10000*$D$3</f>
        <v>355200</v>
      </c>
      <c r="T13" s="8" t="s">
        <v>184</v>
      </c>
      <c r="U13" s="13"/>
      <c r="V13" s="14"/>
      <c r="W13" s="6" t="str">
        <f aca="false">IF(V13="","",IF(V13&lt;=$D$3,"Sì","No"))</f>
        <v/>
      </c>
    </row>
    <row r="14" customFormat="false" ht="23.85" hidden="false" customHeight="false" outlineLevel="0" collapsed="false">
      <c r="A14" s="6" t="n">
        <v>9</v>
      </c>
      <c r="B14" s="8" t="s">
        <v>173</v>
      </c>
      <c r="C14" s="6" t="s">
        <v>158</v>
      </c>
      <c r="D14" s="6" t="s">
        <v>159</v>
      </c>
      <c r="E14" s="6" t="s">
        <v>84</v>
      </c>
      <c r="F14" s="6" t="s">
        <v>160</v>
      </c>
      <c r="G14" s="7" t="n">
        <v>4.66</v>
      </c>
      <c r="H14" s="7" t="n">
        <v>4.44</v>
      </c>
      <c r="I14" s="6" t="s">
        <v>29</v>
      </c>
      <c r="J14" s="6" t="n">
        <v>117</v>
      </c>
      <c r="K14" s="6" t="n">
        <v>619</v>
      </c>
      <c r="L14" s="6" t="s">
        <v>30</v>
      </c>
      <c r="M14" s="8" t="s">
        <v>162</v>
      </c>
      <c r="N14" s="6" t="s">
        <v>30</v>
      </c>
      <c r="O14" s="9" t="n">
        <v>1.1</v>
      </c>
      <c r="P14" s="10" t="n">
        <v>45.072668</v>
      </c>
      <c r="Q14" s="10" t="n">
        <v>9.491939</v>
      </c>
      <c r="R14" s="11" t="str">
        <f aca="false">HYPERLINK("https://www.google.com/maps?q=45.072668,9.491939&amp;t=k","Apri")</f>
        <v>Apri</v>
      </c>
      <c r="S14" s="12" t="n">
        <f aca="false">G14*10000*$D$3</f>
        <v>372800</v>
      </c>
      <c r="T14" s="8" t="s">
        <v>185</v>
      </c>
      <c r="U14" s="13"/>
      <c r="V14" s="14"/>
      <c r="W14" s="6" t="str">
        <f aca="false">IF(V14="","",IF(V14&lt;=$D$3,"Sì","No"))</f>
        <v/>
      </c>
    </row>
    <row r="15" customFormat="false" ht="23.85" hidden="false" customHeight="false" outlineLevel="0" collapsed="false">
      <c r="A15" s="6" t="n">
        <v>10</v>
      </c>
      <c r="B15" s="8" t="s">
        <v>173</v>
      </c>
      <c r="C15" s="6" t="s">
        <v>25</v>
      </c>
      <c r="D15" s="6" t="s">
        <v>26</v>
      </c>
      <c r="E15" s="6" t="s">
        <v>27</v>
      </c>
      <c r="F15" s="6" t="s">
        <v>186</v>
      </c>
      <c r="G15" s="7" t="n">
        <v>4.41</v>
      </c>
      <c r="H15" s="7" t="n">
        <v>4.41</v>
      </c>
      <c r="I15" s="6" t="s">
        <v>29</v>
      </c>
      <c r="J15" s="6" t="n">
        <v>14</v>
      </c>
      <c r="K15" s="6" t="n">
        <v>1562</v>
      </c>
      <c r="L15" s="6" t="s">
        <v>30</v>
      </c>
      <c r="M15" s="8" t="s">
        <v>25</v>
      </c>
      <c r="N15" s="6" t="s">
        <v>30</v>
      </c>
      <c r="O15" s="9" t="n">
        <v>2.2</v>
      </c>
      <c r="P15" s="10" t="n">
        <v>45.064337</v>
      </c>
      <c r="Q15" s="10" t="n">
        <v>9.552919</v>
      </c>
      <c r="R15" s="11" t="str">
        <f aca="false">HYPERLINK("https://www.google.com/maps?q=45.064337,9.552919&amp;t=k","Apri")</f>
        <v>Apri</v>
      </c>
      <c r="S15" s="12" t="n">
        <f aca="false">G15*10000*$D$3</f>
        <v>352800</v>
      </c>
      <c r="T15" s="8"/>
      <c r="U15" s="13"/>
      <c r="V15" s="14"/>
      <c r="W15" s="6" t="str">
        <f aca="false">IF(V15="","",IF(V15&lt;=$D$3,"Sì","No"))</f>
        <v/>
      </c>
    </row>
    <row r="16" customFormat="false" ht="23.85" hidden="false" customHeight="false" outlineLevel="0" collapsed="false">
      <c r="A16" s="6" t="n">
        <v>11</v>
      </c>
      <c r="B16" s="8" t="s">
        <v>173</v>
      </c>
      <c r="C16" s="6" t="s">
        <v>66</v>
      </c>
      <c r="D16" s="6" t="s">
        <v>67</v>
      </c>
      <c r="E16" s="6" t="s">
        <v>64</v>
      </c>
      <c r="F16" s="6" t="s">
        <v>187</v>
      </c>
      <c r="G16" s="7" t="n">
        <v>4.71</v>
      </c>
      <c r="H16" s="7" t="n">
        <v>4.39</v>
      </c>
      <c r="I16" s="6" t="s">
        <v>29</v>
      </c>
      <c r="J16" s="6" t="n">
        <v>82</v>
      </c>
      <c r="K16" s="6" t="n">
        <v>2326</v>
      </c>
      <c r="L16" s="6" t="s">
        <v>36</v>
      </c>
      <c r="M16" s="8" t="s">
        <v>165</v>
      </c>
      <c r="N16" s="6" t="s">
        <v>30</v>
      </c>
      <c r="O16" s="9" t="n">
        <v>8.6</v>
      </c>
      <c r="P16" s="10" t="n">
        <v>45.0799</v>
      </c>
      <c r="Q16" s="10" t="n">
        <v>9.972448</v>
      </c>
      <c r="R16" s="11" t="str">
        <f aca="false">HYPERLINK("https://www.google.com/maps?q=45.0799,9.972448&amp;t=k","Apri")</f>
        <v>Apri</v>
      </c>
      <c r="S16" s="12" t="n">
        <f aca="false">G16*10000*$D$3</f>
        <v>376800</v>
      </c>
      <c r="T16" s="8"/>
      <c r="U16" s="13"/>
      <c r="V16" s="14"/>
      <c r="W16" s="6" t="str">
        <f aca="false">IF(V16="","",IF(V16&lt;=$D$3,"Sì","No"))</f>
        <v/>
      </c>
    </row>
    <row r="17" customFormat="false" ht="23.85" hidden="false" customHeight="false" outlineLevel="0" collapsed="false">
      <c r="A17" s="6" t="n">
        <v>12</v>
      </c>
      <c r="B17" s="8" t="s">
        <v>173</v>
      </c>
      <c r="C17" s="6" t="s">
        <v>108</v>
      </c>
      <c r="D17" s="6" t="s">
        <v>109</v>
      </c>
      <c r="E17" s="6" t="s">
        <v>110</v>
      </c>
      <c r="F17" s="6" t="s">
        <v>188</v>
      </c>
      <c r="G17" s="7" t="n">
        <v>4.37</v>
      </c>
      <c r="H17" s="7" t="n">
        <v>4.37</v>
      </c>
      <c r="I17" s="6" t="s">
        <v>29</v>
      </c>
      <c r="J17" s="6" t="n">
        <v>17</v>
      </c>
      <c r="K17" s="6" t="n">
        <v>293</v>
      </c>
      <c r="L17" s="6" t="s">
        <v>30</v>
      </c>
      <c r="M17" s="8" t="s">
        <v>59</v>
      </c>
      <c r="N17" s="6"/>
      <c r="O17" s="9" t="n">
        <v>7</v>
      </c>
      <c r="P17" s="10" t="n">
        <v>45.078878</v>
      </c>
      <c r="Q17" s="10" t="n">
        <v>9.42278</v>
      </c>
      <c r="R17" s="11" t="str">
        <f aca="false">HYPERLINK("https://www.google.com/maps?q=45.078878,9.42278&amp;t=k","Apri")</f>
        <v>Apri</v>
      </c>
      <c r="S17" s="12" t="n">
        <f aca="false">G17*10000*$D$3</f>
        <v>349600</v>
      </c>
      <c r="T17" s="8" t="s">
        <v>189</v>
      </c>
      <c r="U17" s="13"/>
      <c r="V17" s="14"/>
      <c r="W17" s="6" t="str">
        <f aca="false">IF(V17="","",IF(V17&lt;=$D$3,"Sì","No"))</f>
        <v/>
      </c>
    </row>
    <row r="18" customFormat="false" ht="23.85" hidden="false" customHeight="false" outlineLevel="0" collapsed="false">
      <c r="A18" s="6" t="n">
        <v>13</v>
      </c>
      <c r="B18" s="8" t="s">
        <v>173</v>
      </c>
      <c r="C18" s="6" t="s">
        <v>190</v>
      </c>
      <c r="D18" s="6" t="s">
        <v>191</v>
      </c>
      <c r="E18" s="6" t="s">
        <v>111</v>
      </c>
      <c r="F18" s="6" t="s">
        <v>192</v>
      </c>
      <c r="G18" s="7" t="n">
        <v>4.32</v>
      </c>
      <c r="H18" s="7" t="n">
        <v>4.32</v>
      </c>
      <c r="I18" s="6" t="s">
        <v>78</v>
      </c>
      <c r="J18" s="6" t="n">
        <v>46</v>
      </c>
      <c r="K18" s="6" t="n">
        <v>584</v>
      </c>
      <c r="L18" s="6" t="s">
        <v>30</v>
      </c>
      <c r="M18" s="8" t="s">
        <v>165</v>
      </c>
      <c r="N18" s="6" t="s">
        <v>30</v>
      </c>
      <c r="O18" s="9" t="n">
        <v>9.2</v>
      </c>
      <c r="P18" s="10" t="n">
        <v>44.931055</v>
      </c>
      <c r="Q18" s="10" t="n">
        <v>9.973141</v>
      </c>
      <c r="R18" s="11" t="str">
        <f aca="false">HYPERLINK("https://www.google.com/maps?q=44.931055,9.973141&amp;t=k","Apri")</f>
        <v>Apri</v>
      </c>
      <c r="S18" s="12" t="n">
        <f aca="false">G18*10000*$D$3</f>
        <v>345600</v>
      </c>
      <c r="T18" s="8"/>
      <c r="U18" s="13"/>
      <c r="V18" s="14"/>
      <c r="W18" s="6" t="str">
        <f aca="false">IF(V18="","",IF(V18&lt;=$D$3,"Sì","No"))</f>
        <v/>
      </c>
    </row>
    <row r="19" customFormat="false" ht="23.85" hidden="false" customHeight="false" outlineLevel="0" collapsed="false">
      <c r="A19" s="6" t="n">
        <v>14</v>
      </c>
      <c r="B19" s="8" t="s">
        <v>173</v>
      </c>
      <c r="C19" s="6" t="s">
        <v>74</v>
      </c>
      <c r="D19" s="6" t="s">
        <v>75</v>
      </c>
      <c r="E19" s="6" t="s">
        <v>61</v>
      </c>
      <c r="F19" s="6" t="s">
        <v>193</v>
      </c>
      <c r="G19" s="7" t="n">
        <v>4.27</v>
      </c>
      <c r="H19" s="7" t="n">
        <v>4.27</v>
      </c>
      <c r="I19" s="6" t="s">
        <v>78</v>
      </c>
      <c r="J19" s="6" t="n">
        <v>61</v>
      </c>
      <c r="K19" s="6" t="n">
        <v>75</v>
      </c>
      <c r="L19" s="6" t="s">
        <v>30</v>
      </c>
      <c r="M19" s="8" t="s">
        <v>117</v>
      </c>
      <c r="N19" s="6" t="s">
        <v>30</v>
      </c>
      <c r="O19" s="9" t="n">
        <v>1.7</v>
      </c>
      <c r="P19" s="10" t="n">
        <v>44.982977</v>
      </c>
      <c r="Q19" s="10" t="n">
        <v>9.861957</v>
      </c>
      <c r="R19" s="11" t="str">
        <f aca="false">HYPERLINK("https://www.google.com/maps?q=44.982977,9.861957&amp;t=k","Apri")</f>
        <v>Apri</v>
      </c>
      <c r="S19" s="12" t="n">
        <f aca="false">G19*10000*$D$3</f>
        <v>341600</v>
      </c>
      <c r="T19" s="8" t="s">
        <v>194</v>
      </c>
      <c r="U19" s="13"/>
      <c r="V19" s="14"/>
      <c r="W19" s="6" t="str">
        <f aca="false">IF(V19="","",IF(V19&lt;=$D$3,"Sì","No"))</f>
        <v/>
      </c>
    </row>
    <row r="20" customFormat="false" ht="23.85" hidden="false" customHeight="false" outlineLevel="0" collapsed="false">
      <c r="A20" s="6" t="n">
        <v>15</v>
      </c>
      <c r="B20" s="8" t="s">
        <v>173</v>
      </c>
      <c r="C20" s="6" t="s">
        <v>143</v>
      </c>
      <c r="D20" s="6" t="s">
        <v>144</v>
      </c>
      <c r="E20" s="6" t="s">
        <v>84</v>
      </c>
      <c r="F20" s="6" t="s">
        <v>195</v>
      </c>
      <c r="G20" s="7" t="n">
        <v>4.16</v>
      </c>
      <c r="H20" s="7" t="n">
        <v>4.16</v>
      </c>
      <c r="I20" s="6" t="s">
        <v>78</v>
      </c>
      <c r="J20" s="6" t="n">
        <v>38</v>
      </c>
      <c r="K20" s="6" t="n">
        <v>48</v>
      </c>
      <c r="L20" s="6" t="s">
        <v>30</v>
      </c>
      <c r="M20" s="8" t="s">
        <v>79</v>
      </c>
      <c r="N20" s="6" t="s">
        <v>30</v>
      </c>
      <c r="O20" s="9" t="n">
        <v>2</v>
      </c>
      <c r="P20" s="10" t="n">
        <v>44.96107</v>
      </c>
      <c r="Q20" s="10" t="n">
        <v>9.912464</v>
      </c>
      <c r="R20" s="11" t="str">
        <f aca="false">HYPERLINK("https://www.google.com/maps?q=44.96107,9.912464&amp;t=k","Apri")</f>
        <v>Apri</v>
      </c>
      <c r="S20" s="12" t="n">
        <f aca="false">G20*10000*$D$3</f>
        <v>332800</v>
      </c>
      <c r="T20" s="8" t="s">
        <v>196</v>
      </c>
      <c r="U20" s="13"/>
      <c r="V20" s="14"/>
      <c r="W20" s="6" t="str">
        <f aca="false">IF(V20="","",IF(V20&lt;=$D$3,"Sì","No"))</f>
        <v/>
      </c>
    </row>
    <row r="21" customFormat="false" ht="23.85" hidden="false" customHeight="false" outlineLevel="0" collapsed="false">
      <c r="A21" s="6" t="n">
        <v>16</v>
      </c>
      <c r="B21" s="8" t="s">
        <v>197</v>
      </c>
      <c r="C21" s="6" t="s">
        <v>86</v>
      </c>
      <c r="D21" s="6" t="s">
        <v>87</v>
      </c>
      <c r="E21" s="6" t="s">
        <v>198</v>
      </c>
      <c r="F21" s="6" t="s">
        <v>199</v>
      </c>
      <c r="G21" s="7" t="n">
        <v>11.91</v>
      </c>
      <c r="H21" s="7" t="n">
        <v>9.36</v>
      </c>
      <c r="I21" s="6" t="s">
        <v>29</v>
      </c>
      <c r="J21" s="6" t="n">
        <v>15</v>
      </c>
      <c r="K21" s="6" t="n">
        <v>73</v>
      </c>
      <c r="L21" s="6" t="s">
        <v>30</v>
      </c>
      <c r="M21" s="8" t="s">
        <v>59</v>
      </c>
      <c r="N21" s="6"/>
      <c r="O21" s="9" t="n">
        <v>2</v>
      </c>
      <c r="P21" s="10" t="n">
        <v>45.048762</v>
      </c>
      <c r="Q21" s="10" t="n">
        <v>9.760785</v>
      </c>
      <c r="R21" s="11" t="str">
        <f aca="false">HYPERLINK("https://www.google.com/maps?q=45.048762,9.760785&amp;t=k","Apri")</f>
        <v>Apri</v>
      </c>
      <c r="S21" s="12" t="n">
        <f aca="false">G21*10000*$D$3</f>
        <v>952800</v>
      </c>
      <c r="T21" s="8" t="s">
        <v>200</v>
      </c>
      <c r="U21" s="13"/>
      <c r="V21" s="14"/>
      <c r="W21" s="6" t="str">
        <f aca="false">IF(V21="","",IF(V21&lt;=$D$3,"Sì","No"))</f>
        <v/>
      </c>
    </row>
    <row r="22" customFormat="false" ht="23.85" hidden="false" customHeight="false" outlineLevel="0" collapsed="false">
      <c r="A22" s="6" t="n">
        <v>17</v>
      </c>
      <c r="B22" s="8" t="s">
        <v>197</v>
      </c>
      <c r="C22" s="6" t="s">
        <v>86</v>
      </c>
      <c r="D22" s="6" t="s">
        <v>87</v>
      </c>
      <c r="E22" s="6" t="s">
        <v>68</v>
      </c>
      <c r="F22" s="6" t="s">
        <v>201</v>
      </c>
      <c r="G22" s="7" t="n">
        <v>9.17</v>
      </c>
      <c r="H22" s="7" t="n">
        <v>7.73</v>
      </c>
      <c r="I22" s="6" t="s">
        <v>78</v>
      </c>
      <c r="J22" s="6" t="n">
        <v>107</v>
      </c>
      <c r="K22" s="6" t="n">
        <v>155</v>
      </c>
      <c r="L22" s="6" t="s">
        <v>36</v>
      </c>
      <c r="M22" s="8" t="s">
        <v>202</v>
      </c>
      <c r="N22" s="6" t="s">
        <v>30</v>
      </c>
      <c r="O22" s="9" t="n">
        <v>0.5</v>
      </c>
      <c r="P22" s="10" t="n">
        <v>45.055242</v>
      </c>
      <c r="Q22" s="10" t="n">
        <v>9.737135</v>
      </c>
      <c r="R22" s="11" t="str">
        <f aca="false">HYPERLINK("https://www.google.com/maps?q=45.055242,9.737135&amp;t=k","Apri")</f>
        <v>Apri</v>
      </c>
      <c r="S22" s="12" t="n">
        <f aca="false">G22*10000*$D$3</f>
        <v>733600</v>
      </c>
      <c r="T22" s="8" t="s">
        <v>203</v>
      </c>
      <c r="U22" s="13"/>
      <c r="V22" s="14"/>
      <c r="W22" s="6" t="str">
        <f aca="false">IF(V22="","",IF(V22&lt;=$D$3,"Sì","No"))</f>
        <v/>
      </c>
    </row>
    <row r="23" customFormat="false" ht="23.85" hidden="false" customHeight="false" outlineLevel="0" collapsed="false">
      <c r="A23" s="6" t="n">
        <v>18</v>
      </c>
      <c r="B23" s="8" t="s">
        <v>197</v>
      </c>
      <c r="C23" s="6" t="s">
        <v>114</v>
      </c>
      <c r="D23" s="6" t="s">
        <v>115</v>
      </c>
      <c r="E23" s="6" t="s">
        <v>27</v>
      </c>
      <c r="F23" s="6" t="s">
        <v>145</v>
      </c>
      <c r="G23" s="7" t="n">
        <v>7.58</v>
      </c>
      <c r="H23" s="7" t="n">
        <v>7.58</v>
      </c>
      <c r="I23" s="6" t="s">
        <v>78</v>
      </c>
      <c r="J23" s="6" t="n">
        <v>17</v>
      </c>
      <c r="K23" s="6" t="n">
        <v>202</v>
      </c>
      <c r="L23" s="6" t="s">
        <v>30</v>
      </c>
      <c r="M23" s="8" t="s">
        <v>59</v>
      </c>
      <c r="N23" s="6"/>
      <c r="O23" s="9" t="n">
        <v>4.1</v>
      </c>
      <c r="P23" s="10" t="n">
        <v>45.000605</v>
      </c>
      <c r="Q23" s="10" t="n">
        <v>9.809872</v>
      </c>
      <c r="R23" s="11" t="str">
        <f aca="false">HYPERLINK("https://www.google.com/maps?q=45.000605,9.809872&amp;t=k","Apri")</f>
        <v>Apri</v>
      </c>
      <c r="S23" s="12" t="n">
        <f aca="false">G23*10000*$D$3</f>
        <v>606400</v>
      </c>
      <c r="T23" s="8" t="s">
        <v>204</v>
      </c>
      <c r="U23" s="13"/>
      <c r="V23" s="14"/>
      <c r="W23" s="6" t="str">
        <f aca="false">IF(V23="","",IF(V23&lt;=$D$3,"Sì","No"))</f>
        <v/>
      </c>
    </row>
    <row r="24" customFormat="false" ht="23.85" hidden="false" customHeight="false" outlineLevel="0" collapsed="false">
      <c r="A24" s="6" t="n">
        <v>19</v>
      </c>
      <c r="B24" s="8" t="s">
        <v>197</v>
      </c>
      <c r="C24" s="6" t="s">
        <v>32</v>
      </c>
      <c r="D24" s="6" t="s">
        <v>33</v>
      </c>
      <c r="E24" s="6" t="s">
        <v>61</v>
      </c>
      <c r="F24" s="6" t="s">
        <v>205</v>
      </c>
      <c r="G24" s="7" t="n">
        <v>7.58</v>
      </c>
      <c r="H24" s="7" t="n">
        <v>7.46</v>
      </c>
      <c r="I24" s="6" t="s">
        <v>29</v>
      </c>
      <c r="J24" s="6" t="n">
        <v>14</v>
      </c>
      <c r="K24" s="6" t="n">
        <v>458</v>
      </c>
      <c r="L24" s="6" t="s">
        <v>30</v>
      </c>
      <c r="M24" s="8" t="s">
        <v>59</v>
      </c>
      <c r="N24" s="6"/>
      <c r="O24" s="9" t="n">
        <v>4.4</v>
      </c>
      <c r="P24" s="10" t="n">
        <v>45.043973</v>
      </c>
      <c r="Q24" s="10" t="n">
        <v>9.824945</v>
      </c>
      <c r="R24" s="11" t="str">
        <f aca="false">HYPERLINK("https://www.google.com/maps?q=45.043973,9.824945&amp;t=k","Apri")</f>
        <v>Apri</v>
      </c>
      <c r="S24" s="12" t="n">
        <f aca="false">G24*10000*$D$3</f>
        <v>606400</v>
      </c>
      <c r="T24" s="8" t="s">
        <v>206</v>
      </c>
      <c r="U24" s="13"/>
      <c r="V24" s="14"/>
      <c r="W24" s="6" t="str">
        <f aca="false">IF(V24="","",IF(V24&lt;=$D$3,"Sì","No"))</f>
        <v/>
      </c>
    </row>
    <row r="25" customFormat="false" ht="23.85" hidden="false" customHeight="false" outlineLevel="0" collapsed="false">
      <c r="A25" s="6" t="n">
        <v>20</v>
      </c>
      <c r="B25" s="8" t="s">
        <v>197</v>
      </c>
      <c r="C25" s="6" t="s">
        <v>32</v>
      </c>
      <c r="D25" s="6" t="s">
        <v>33</v>
      </c>
      <c r="E25" s="6" t="s">
        <v>61</v>
      </c>
      <c r="F25" s="6" t="s">
        <v>130</v>
      </c>
      <c r="G25" s="7" t="n">
        <v>12.19</v>
      </c>
      <c r="H25" s="7" t="n">
        <v>7.21</v>
      </c>
      <c r="I25" s="6" t="s">
        <v>29</v>
      </c>
      <c r="J25" s="6" t="n">
        <v>19</v>
      </c>
      <c r="K25" s="6" t="n">
        <v>1113</v>
      </c>
      <c r="L25" s="6" t="s">
        <v>30</v>
      </c>
      <c r="M25" s="8" t="s">
        <v>32</v>
      </c>
      <c r="N25" s="6" t="s">
        <v>36</v>
      </c>
      <c r="O25" s="9" t="n">
        <v>3.9</v>
      </c>
      <c r="P25" s="10" t="n">
        <v>45.043184</v>
      </c>
      <c r="Q25" s="10" t="n">
        <v>9.838266</v>
      </c>
      <c r="R25" s="11" t="str">
        <f aca="false">HYPERLINK("https://www.google.com/maps?q=45.043184,9.838266&amp;t=k","Apri")</f>
        <v>Apri</v>
      </c>
      <c r="S25" s="12" t="n">
        <f aca="false">G25*10000*$D$3</f>
        <v>975200</v>
      </c>
      <c r="T25" s="8" t="s">
        <v>207</v>
      </c>
      <c r="U25" s="13"/>
      <c r="V25" s="14"/>
      <c r="W25" s="6" t="str">
        <f aca="false">IF(V25="","",IF(V25&lt;=$D$3,"Sì","No"))</f>
        <v/>
      </c>
    </row>
    <row r="26" customFormat="false" ht="23.85" hidden="false" customHeight="false" outlineLevel="0" collapsed="false">
      <c r="A26" s="6" t="n">
        <v>21</v>
      </c>
      <c r="B26" s="8" t="s">
        <v>197</v>
      </c>
      <c r="C26" s="6" t="s">
        <v>86</v>
      </c>
      <c r="D26" s="6" t="s">
        <v>87</v>
      </c>
      <c r="E26" s="6" t="s">
        <v>208</v>
      </c>
      <c r="F26" s="6" t="s">
        <v>209</v>
      </c>
      <c r="G26" s="7" t="n">
        <v>8.78</v>
      </c>
      <c r="H26" s="7" t="n">
        <v>7.16</v>
      </c>
      <c r="I26" s="6" t="s">
        <v>29</v>
      </c>
      <c r="J26" s="6" t="n">
        <v>16</v>
      </c>
      <c r="K26" s="6" t="n">
        <v>3</v>
      </c>
      <c r="L26" s="6" t="s">
        <v>30</v>
      </c>
      <c r="M26" s="8" t="s">
        <v>59</v>
      </c>
      <c r="N26" s="6"/>
      <c r="O26" s="9" t="n">
        <v>2.3</v>
      </c>
      <c r="P26" s="10" t="n">
        <v>45.052295</v>
      </c>
      <c r="Q26" s="10" t="n">
        <v>9.76821</v>
      </c>
      <c r="R26" s="11" t="str">
        <f aca="false">HYPERLINK("https://www.google.com/maps?q=45.052295,9.76821&amp;t=k","Apri")</f>
        <v>Apri</v>
      </c>
      <c r="S26" s="12" t="n">
        <f aca="false">G26*10000*$D$3</f>
        <v>702400</v>
      </c>
      <c r="T26" s="8" t="s">
        <v>210</v>
      </c>
      <c r="U26" s="13"/>
      <c r="V26" s="14"/>
      <c r="W26" s="6" t="str">
        <f aca="false">IF(V26="","",IF(V26&lt;=$D$3,"Sì","No"))</f>
        <v/>
      </c>
    </row>
    <row r="27" customFormat="false" ht="23.85" hidden="false" customHeight="false" outlineLevel="0" collapsed="false">
      <c r="A27" s="6" t="n">
        <v>22</v>
      </c>
      <c r="B27" s="8" t="s">
        <v>197</v>
      </c>
      <c r="C27" s="6" t="s">
        <v>81</v>
      </c>
      <c r="D27" s="6" t="s">
        <v>82</v>
      </c>
      <c r="E27" s="6" t="s">
        <v>83</v>
      </c>
      <c r="F27" s="6" t="s">
        <v>110</v>
      </c>
      <c r="G27" s="7" t="n">
        <v>6.69</v>
      </c>
      <c r="H27" s="7" t="n">
        <v>6.69</v>
      </c>
      <c r="I27" s="6" t="s">
        <v>29</v>
      </c>
      <c r="J27" s="6" t="n">
        <v>14</v>
      </c>
      <c r="K27" s="6" t="n">
        <v>237</v>
      </c>
      <c r="L27" s="6" t="s">
        <v>36</v>
      </c>
      <c r="M27" s="8" t="s">
        <v>69</v>
      </c>
      <c r="N27" s="6" t="s">
        <v>30</v>
      </c>
      <c r="O27" s="9" t="n">
        <v>2</v>
      </c>
      <c r="P27" s="10" t="n">
        <v>45.060423</v>
      </c>
      <c r="Q27" s="10" t="n">
        <v>9.943988</v>
      </c>
      <c r="R27" s="11" t="str">
        <f aca="false">HYPERLINK("https://www.google.com/maps?q=45.060423,9.943988&amp;t=k","Apri")</f>
        <v>Apri</v>
      </c>
      <c r="S27" s="12" t="n">
        <f aca="false">G27*10000*$D$3</f>
        <v>535200</v>
      </c>
      <c r="T27" s="8" t="s">
        <v>211</v>
      </c>
      <c r="U27" s="13"/>
      <c r="V27" s="14"/>
      <c r="W27" s="6" t="str">
        <f aca="false">IF(V27="","",IF(V27&lt;=$D$3,"Sì","No"))</f>
        <v/>
      </c>
    </row>
    <row r="28" customFormat="false" ht="35.05" hidden="false" customHeight="false" outlineLevel="0" collapsed="false">
      <c r="A28" s="6" t="n">
        <v>23</v>
      </c>
      <c r="B28" s="8" t="s">
        <v>197</v>
      </c>
      <c r="C28" s="6" t="s">
        <v>44</v>
      </c>
      <c r="D28" s="6" t="s">
        <v>45</v>
      </c>
      <c r="E28" s="6" t="s">
        <v>46</v>
      </c>
      <c r="F28" s="6" t="s">
        <v>133</v>
      </c>
      <c r="G28" s="7" t="n">
        <v>10.16</v>
      </c>
      <c r="H28" s="7" t="n">
        <v>6.61</v>
      </c>
      <c r="I28" s="6" t="s">
        <v>29</v>
      </c>
      <c r="J28" s="6" t="n">
        <v>41</v>
      </c>
      <c r="K28" s="6" t="n">
        <v>8</v>
      </c>
      <c r="L28" s="6" t="s">
        <v>30</v>
      </c>
      <c r="M28" s="8" t="s">
        <v>69</v>
      </c>
      <c r="N28" s="6" t="s">
        <v>30</v>
      </c>
      <c r="O28" s="9" t="n">
        <v>0.7</v>
      </c>
      <c r="P28" s="10" t="n">
        <v>45.05615</v>
      </c>
      <c r="Q28" s="10" t="n">
        <v>9.92301</v>
      </c>
      <c r="R28" s="11" t="str">
        <f aca="false">HYPERLINK("https://www.google.com/maps?q=45.05615,9.92301&amp;t=k","Apri")</f>
        <v>Apri</v>
      </c>
      <c r="S28" s="12" t="n">
        <f aca="false">G28*10000*$D$3</f>
        <v>812800</v>
      </c>
      <c r="T28" s="8" t="s">
        <v>212</v>
      </c>
      <c r="U28" s="13"/>
      <c r="V28" s="14"/>
      <c r="W28" s="6" t="str">
        <f aca="false">IF(V28="","",IF(V28&lt;=$D$3,"Sì","No"))</f>
        <v/>
      </c>
    </row>
    <row r="29" customFormat="false" ht="23.85" hidden="false" customHeight="false" outlineLevel="0" collapsed="false">
      <c r="A29" s="6" t="n">
        <v>24</v>
      </c>
      <c r="B29" s="8" t="s">
        <v>197</v>
      </c>
      <c r="C29" s="6" t="s">
        <v>86</v>
      </c>
      <c r="D29" s="6" t="s">
        <v>87</v>
      </c>
      <c r="E29" s="6" t="s">
        <v>213</v>
      </c>
      <c r="F29" s="6" t="s">
        <v>91</v>
      </c>
      <c r="G29" s="7" t="n">
        <v>6.89</v>
      </c>
      <c r="H29" s="7" t="n">
        <v>6.57</v>
      </c>
      <c r="I29" s="6" t="s">
        <v>78</v>
      </c>
      <c r="J29" s="6" t="n">
        <v>17</v>
      </c>
      <c r="K29" s="6" t="n">
        <v>153</v>
      </c>
      <c r="L29" s="6" t="s">
        <v>30</v>
      </c>
      <c r="M29" s="8" t="s">
        <v>59</v>
      </c>
      <c r="N29" s="6"/>
      <c r="O29" s="9" t="n">
        <v>0.7</v>
      </c>
      <c r="P29" s="10" t="n">
        <v>45.037115</v>
      </c>
      <c r="Q29" s="10" t="n">
        <v>9.764968</v>
      </c>
      <c r="R29" s="11" t="str">
        <f aca="false">HYPERLINK("https://www.google.com/maps?q=45.037115,9.764968&amp;t=k","Apri")</f>
        <v>Apri</v>
      </c>
      <c r="S29" s="12" t="n">
        <f aca="false">G29*10000*$D$3</f>
        <v>551200</v>
      </c>
      <c r="T29" s="8" t="s">
        <v>214</v>
      </c>
      <c r="U29" s="13"/>
      <c r="V29" s="14"/>
      <c r="W29" s="6" t="str">
        <f aca="false">IF(V29="","",IF(V29&lt;=$D$3,"Sì","No"))</f>
        <v/>
      </c>
    </row>
    <row r="30" customFormat="false" ht="23.85" hidden="false" customHeight="false" outlineLevel="0" collapsed="false">
      <c r="A30" s="6" t="n">
        <v>25</v>
      </c>
      <c r="B30" s="8" t="s">
        <v>197</v>
      </c>
      <c r="C30" s="6" t="s">
        <v>86</v>
      </c>
      <c r="D30" s="6" t="s">
        <v>87</v>
      </c>
      <c r="E30" s="6" t="s">
        <v>208</v>
      </c>
      <c r="F30" s="6" t="s">
        <v>83</v>
      </c>
      <c r="G30" s="7" t="n">
        <v>6.9</v>
      </c>
      <c r="H30" s="7" t="n">
        <v>6.53</v>
      </c>
      <c r="I30" s="6" t="s">
        <v>29</v>
      </c>
      <c r="J30" s="6" t="n">
        <v>17</v>
      </c>
      <c r="K30" s="6" t="n">
        <v>97</v>
      </c>
      <c r="L30" s="6" t="s">
        <v>30</v>
      </c>
      <c r="M30" s="8" t="s">
        <v>59</v>
      </c>
      <c r="N30" s="6"/>
      <c r="O30" s="9" t="n">
        <v>2.4</v>
      </c>
      <c r="P30" s="10" t="n">
        <v>45.051189</v>
      </c>
      <c r="Q30" s="10" t="n">
        <v>9.783466</v>
      </c>
      <c r="R30" s="11" t="str">
        <f aca="false">HYPERLINK("https://www.google.com/maps?q=45.051189,9.783466&amp;t=k","Apri")</f>
        <v>Apri</v>
      </c>
      <c r="S30" s="12" t="n">
        <f aca="false">G30*10000*$D$3</f>
        <v>552000</v>
      </c>
      <c r="T30" s="8" t="s">
        <v>215</v>
      </c>
      <c r="U30" s="13"/>
      <c r="V30" s="14"/>
      <c r="W30" s="6" t="str">
        <f aca="false">IF(V30="","",IF(V30&lt;=$D$3,"Sì","No"))</f>
        <v/>
      </c>
    </row>
    <row r="31" customFormat="false" ht="23.85" hidden="false" customHeight="false" outlineLevel="0" collapsed="false">
      <c r="A31" s="6" t="n">
        <v>26</v>
      </c>
      <c r="B31" s="8" t="s">
        <v>197</v>
      </c>
      <c r="C31" s="6" t="s">
        <v>66</v>
      </c>
      <c r="D31" s="6" t="s">
        <v>67</v>
      </c>
      <c r="E31" s="6" t="s">
        <v>68</v>
      </c>
      <c r="F31" s="6" t="s">
        <v>41</v>
      </c>
      <c r="G31" s="7" t="n">
        <v>6.42</v>
      </c>
      <c r="H31" s="7" t="n">
        <v>6.41</v>
      </c>
      <c r="I31" s="6" t="s">
        <v>29</v>
      </c>
      <c r="J31" s="6" t="n">
        <v>11</v>
      </c>
      <c r="K31" s="6" t="n">
        <v>944</v>
      </c>
      <c r="L31" s="6" t="s">
        <v>36</v>
      </c>
      <c r="M31" s="8" t="s">
        <v>69</v>
      </c>
      <c r="N31" s="6" t="s">
        <v>30</v>
      </c>
      <c r="O31" s="9" t="n">
        <v>2.8</v>
      </c>
      <c r="P31" s="10" t="n">
        <v>45.067028</v>
      </c>
      <c r="Q31" s="10" t="n">
        <v>9.953616</v>
      </c>
      <c r="R31" s="11" t="str">
        <f aca="false">HYPERLINK("https://www.google.com/maps?q=45.067028,9.953616&amp;t=k","Apri")</f>
        <v>Apri</v>
      </c>
      <c r="S31" s="12" t="n">
        <f aca="false">G31*10000*$D$3</f>
        <v>513600</v>
      </c>
      <c r="T31" s="8" t="s">
        <v>216</v>
      </c>
      <c r="U31" s="13"/>
      <c r="V31" s="14"/>
      <c r="W31" s="6" t="str">
        <f aca="false">IF(V31="","",IF(V31&lt;=$D$3,"Sì","No"))</f>
        <v/>
      </c>
    </row>
    <row r="32" customFormat="false" ht="23.85" hidden="false" customHeight="false" outlineLevel="0" collapsed="false">
      <c r="A32" s="6" t="n">
        <v>27</v>
      </c>
      <c r="B32" s="8" t="s">
        <v>197</v>
      </c>
      <c r="C32" s="6" t="s">
        <v>108</v>
      </c>
      <c r="D32" s="6" t="s">
        <v>109</v>
      </c>
      <c r="E32" s="6" t="s">
        <v>27</v>
      </c>
      <c r="F32" s="6" t="s">
        <v>217</v>
      </c>
      <c r="G32" s="7" t="n">
        <v>6.23</v>
      </c>
      <c r="H32" s="7" t="n">
        <v>6.1</v>
      </c>
      <c r="I32" s="6" t="s">
        <v>29</v>
      </c>
      <c r="J32" s="6" t="n">
        <v>30</v>
      </c>
      <c r="K32" s="6" t="n">
        <v>462</v>
      </c>
      <c r="L32" s="6" t="s">
        <v>52</v>
      </c>
      <c r="M32" s="8" t="s">
        <v>162</v>
      </c>
      <c r="N32" s="6" t="s">
        <v>30</v>
      </c>
      <c r="O32" s="9" t="n">
        <v>1.8</v>
      </c>
      <c r="P32" s="10" t="n">
        <v>45.075397</v>
      </c>
      <c r="Q32" s="10" t="n">
        <v>9.465379</v>
      </c>
      <c r="R32" s="11" t="str">
        <f aca="false">HYPERLINK("https://www.google.com/maps?q=45.075397,9.465379&amp;t=k","Apri")</f>
        <v>Apri</v>
      </c>
      <c r="S32" s="12" t="n">
        <f aca="false">G32*10000*$D$3</f>
        <v>498400</v>
      </c>
      <c r="T32" s="8" t="s">
        <v>218</v>
      </c>
      <c r="U32" s="13"/>
      <c r="V32" s="14"/>
      <c r="W32" s="6" t="str">
        <f aca="false">IF(V32="","",IF(V32&lt;=$D$3,"Sì","No"))</f>
        <v/>
      </c>
    </row>
    <row r="33" customFormat="false" ht="23.85" hidden="false" customHeight="false" outlineLevel="0" collapsed="false">
      <c r="A33" s="6" t="n">
        <v>28</v>
      </c>
      <c r="B33" s="8" t="s">
        <v>197</v>
      </c>
      <c r="C33" s="6" t="s">
        <v>32</v>
      </c>
      <c r="D33" s="6" t="s">
        <v>33</v>
      </c>
      <c r="E33" s="6" t="s">
        <v>99</v>
      </c>
      <c r="F33" s="6" t="s">
        <v>219</v>
      </c>
      <c r="G33" s="7" t="n">
        <v>5.87</v>
      </c>
      <c r="H33" s="7" t="n">
        <v>5.87</v>
      </c>
      <c r="I33" s="6" t="s">
        <v>29</v>
      </c>
      <c r="J33" s="6" t="n">
        <v>15</v>
      </c>
      <c r="K33" s="6" t="n">
        <v>264</v>
      </c>
      <c r="L33" s="6" t="s">
        <v>36</v>
      </c>
      <c r="M33" s="8" t="s">
        <v>48</v>
      </c>
      <c r="N33" s="6" t="s">
        <v>30</v>
      </c>
      <c r="O33" s="9" t="n">
        <v>1.7</v>
      </c>
      <c r="P33" s="10" t="n">
        <v>45.059079</v>
      </c>
      <c r="Q33" s="10" t="n">
        <v>9.895398</v>
      </c>
      <c r="R33" s="11" t="str">
        <f aca="false">HYPERLINK("https://www.google.com/maps?q=45.059079,9.895398&amp;t=k","Apri")</f>
        <v>Apri</v>
      </c>
      <c r="S33" s="12" t="n">
        <f aca="false">G33*10000*$D$3</f>
        <v>469600</v>
      </c>
      <c r="T33" s="8" t="s">
        <v>220</v>
      </c>
      <c r="U33" s="13"/>
      <c r="V33" s="14"/>
      <c r="W33" s="6" t="str">
        <f aca="false">IF(V33="","",IF(V33&lt;=$D$3,"Sì","No"))</f>
        <v/>
      </c>
    </row>
    <row r="34" customFormat="false" ht="23.85" hidden="false" customHeight="false" outlineLevel="0" collapsed="false">
      <c r="A34" s="6" t="n">
        <v>29</v>
      </c>
      <c r="B34" s="8" t="s">
        <v>197</v>
      </c>
      <c r="C34" s="6" t="s">
        <v>86</v>
      </c>
      <c r="D34" s="6" t="s">
        <v>87</v>
      </c>
      <c r="E34" s="6" t="s">
        <v>221</v>
      </c>
      <c r="F34" s="6" t="s">
        <v>222</v>
      </c>
      <c r="G34" s="7" t="n">
        <v>5.76</v>
      </c>
      <c r="H34" s="7" t="n">
        <v>5.77</v>
      </c>
      <c r="I34" s="6" t="s">
        <v>29</v>
      </c>
      <c r="J34" s="6" t="n">
        <v>29</v>
      </c>
      <c r="K34" s="6" t="n">
        <v>428</v>
      </c>
      <c r="L34" s="6" t="s">
        <v>30</v>
      </c>
      <c r="M34" s="8" t="s">
        <v>59</v>
      </c>
      <c r="N34" s="6"/>
      <c r="O34" s="9" t="n">
        <v>0.6</v>
      </c>
      <c r="P34" s="10" t="n">
        <v>45.059881</v>
      </c>
      <c r="Q34" s="10" t="n">
        <v>9.654046</v>
      </c>
      <c r="R34" s="11" t="str">
        <f aca="false">HYPERLINK("https://www.google.com/maps?q=45.059881,9.654046&amp;t=k","Apri")</f>
        <v>Apri</v>
      </c>
      <c r="S34" s="12" t="n">
        <f aca="false">G34*10000*$D$3</f>
        <v>460800</v>
      </c>
      <c r="T34" s="8" t="s">
        <v>223</v>
      </c>
      <c r="U34" s="13"/>
      <c r="V34" s="14"/>
      <c r="W34" s="6" t="str">
        <f aca="false">IF(V34="","",IF(V34&lt;=$D$3,"Sì","No"))</f>
        <v/>
      </c>
    </row>
    <row r="35" customFormat="false" ht="23.85" hidden="false" customHeight="false" outlineLevel="0" collapsed="false">
      <c r="A35" s="6" t="n">
        <v>30</v>
      </c>
      <c r="B35" s="8" t="s">
        <v>197</v>
      </c>
      <c r="C35" s="6" t="s">
        <v>25</v>
      </c>
      <c r="D35" s="6" t="s">
        <v>26</v>
      </c>
      <c r="E35" s="6" t="s">
        <v>224</v>
      </c>
      <c r="F35" s="6" t="s">
        <v>133</v>
      </c>
      <c r="G35" s="7" t="n">
        <v>9.14</v>
      </c>
      <c r="H35" s="7" t="n">
        <v>5.59</v>
      </c>
      <c r="I35" s="6" t="s">
        <v>29</v>
      </c>
      <c r="J35" s="6" t="n">
        <v>97</v>
      </c>
      <c r="K35" s="6" t="n">
        <v>71</v>
      </c>
      <c r="L35" s="6" t="s">
        <v>30</v>
      </c>
      <c r="M35" s="8" t="s">
        <v>25</v>
      </c>
      <c r="N35" s="6" t="s">
        <v>30</v>
      </c>
      <c r="O35" s="9" t="n">
        <v>1.8</v>
      </c>
      <c r="P35" s="10" t="n">
        <v>45.061374</v>
      </c>
      <c r="Q35" s="10" t="n">
        <v>9.598748</v>
      </c>
      <c r="R35" s="11" t="str">
        <f aca="false">HYPERLINK("https://www.google.com/maps?q=45.061374,9.598748&amp;t=k","Apri")</f>
        <v>Apri</v>
      </c>
      <c r="S35" s="12" t="n">
        <f aca="false">G35*10000*$D$3</f>
        <v>731200</v>
      </c>
      <c r="T35" s="8" t="s">
        <v>225</v>
      </c>
      <c r="U35" s="13"/>
      <c r="V35" s="14"/>
      <c r="W35" s="6" t="str">
        <f aca="false">IF(V35="","",IF(V35&lt;=$D$3,"Sì","No"))</f>
        <v/>
      </c>
    </row>
    <row r="36" customFormat="false" ht="23.85" hidden="false" customHeight="false" outlineLevel="0" collapsed="false">
      <c r="A36" s="6" t="n">
        <v>31</v>
      </c>
      <c r="B36" s="8" t="s">
        <v>197</v>
      </c>
      <c r="C36" s="6" t="s">
        <v>86</v>
      </c>
      <c r="D36" s="6" t="s">
        <v>87</v>
      </c>
      <c r="E36" s="6" t="s">
        <v>208</v>
      </c>
      <c r="F36" s="6" t="s">
        <v>76</v>
      </c>
      <c r="G36" s="7" t="n">
        <v>5.43</v>
      </c>
      <c r="H36" s="7" t="n">
        <v>5.43</v>
      </c>
      <c r="I36" s="6" t="s">
        <v>29</v>
      </c>
      <c r="J36" s="6" t="n">
        <v>15</v>
      </c>
      <c r="K36" s="6" t="n">
        <v>384</v>
      </c>
      <c r="L36" s="6" t="s">
        <v>30</v>
      </c>
      <c r="M36" s="8" t="s">
        <v>59</v>
      </c>
      <c r="N36" s="6"/>
      <c r="O36" s="9" t="n">
        <v>2</v>
      </c>
      <c r="P36" s="10" t="n">
        <v>45.048813</v>
      </c>
      <c r="Q36" s="10" t="n">
        <v>9.773546</v>
      </c>
      <c r="R36" s="11" t="str">
        <f aca="false">HYPERLINK("https://www.google.com/maps?q=45.048813,9.773546&amp;t=k","Apri")</f>
        <v>Apri</v>
      </c>
      <c r="S36" s="12" t="n">
        <f aca="false">G36*10000*$D$3</f>
        <v>434400</v>
      </c>
      <c r="T36" s="8"/>
      <c r="U36" s="13"/>
      <c r="V36" s="14"/>
      <c r="W36" s="6" t="str">
        <f aca="false">IF(V36="","",IF(V36&lt;=$D$3,"Sì","No"))</f>
        <v/>
      </c>
    </row>
    <row r="37" customFormat="false" ht="23.85" hidden="false" customHeight="false" outlineLevel="0" collapsed="false">
      <c r="A37" s="6" t="n">
        <v>32</v>
      </c>
      <c r="B37" s="8" t="s">
        <v>197</v>
      </c>
      <c r="C37" s="6" t="s">
        <v>86</v>
      </c>
      <c r="D37" s="6" t="s">
        <v>87</v>
      </c>
      <c r="E37" s="6" t="s">
        <v>208</v>
      </c>
      <c r="F37" s="6" t="s">
        <v>208</v>
      </c>
      <c r="G37" s="7" t="n">
        <v>6.76</v>
      </c>
      <c r="H37" s="7" t="n">
        <v>5.09</v>
      </c>
      <c r="I37" s="6" t="s">
        <v>29</v>
      </c>
      <c r="J37" s="6" t="n">
        <v>16</v>
      </c>
      <c r="K37" s="6" t="n">
        <v>33</v>
      </c>
      <c r="L37" s="6" t="s">
        <v>30</v>
      </c>
      <c r="M37" s="8" t="s">
        <v>59</v>
      </c>
      <c r="N37" s="6"/>
      <c r="O37" s="9" t="n">
        <v>2.4</v>
      </c>
      <c r="P37" s="10" t="n">
        <v>45.051831</v>
      </c>
      <c r="Q37" s="10" t="n">
        <v>9.780048</v>
      </c>
      <c r="R37" s="11" t="str">
        <f aca="false">HYPERLINK("https://www.google.com/maps?q=45.051831,9.780048&amp;t=k","Apri")</f>
        <v>Apri</v>
      </c>
      <c r="S37" s="12" t="n">
        <f aca="false">G37*10000*$D$3</f>
        <v>540800</v>
      </c>
      <c r="T37" s="8" t="s">
        <v>226</v>
      </c>
      <c r="U37" s="13"/>
      <c r="V37" s="14"/>
      <c r="W37" s="6" t="str">
        <f aca="false">IF(V37="","",IF(V37&lt;=$D$3,"Sì","No"))</f>
        <v/>
      </c>
    </row>
    <row r="38" customFormat="false" ht="23.85" hidden="false" customHeight="false" outlineLevel="0" collapsed="false">
      <c r="A38" s="6" t="n">
        <v>33</v>
      </c>
      <c r="B38" s="8" t="s">
        <v>197</v>
      </c>
      <c r="C38" s="6" t="s">
        <v>81</v>
      </c>
      <c r="D38" s="6" t="s">
        <v>82</v>
      </c>
      <c r="E38" s="6" t="s">
        <v>83</v>
      </c>
      <c r="F38" s="6" t="s">
        <v>227</v>
      </c>
      <c r="G38" s="7" t="n">
        <v>4.94</v>
      </c>
      <c r="H38" s="7" t="n">
        <v>4.94</v>
      </c>
      <c r="I38" s="6" t="s">
        <v>29</v>
      </c>
      <c r="J38" s="6" t="n">
        <v>31</v>
      </c>
      <c r="K38" s="6" t="n">
        <v>526</v>
      </c>
      <c r="L38" s="6" t="s">
        <v>36</v>
      </c>
      <c r="M38" s="8" t="s">
        <v>69</v>
      </c>
      <c r="N38" s="6" t="s">
        <v>30</v>
      </c>
      <c r="O38" s="9" t="n">
        <v>1.9</v>
      </c>
      <c r="P38" s="10" t="n">
        <v>45.063027</v>
      </c>
      <c r="Q38" s="10" t="n">
        <v>9.943454</v>
      </c>
      <c r="R38" s="11" t="str">
        <f aca="false">HYPERLINK("https://www.google.com/maps?q=45.063027,9.943454&amp;t=k","Apri")</f>
        <v>Apri</v>
      </c>
      <c r="S38" s="12" t="n">
        <f aca="false">G38*10000*$D$3</f>
        <v>395200</v>
      </c>
      <c r="T38" s="8" t="s">
        <v>228</v>
      </c>
      <c r="U38" s="13"/>
      <c r="V38" s="14"/>
      <c r="W38" s="6" t="str">
        <f aca="false">IF(V38="","",IF(V38&lt;=$D$3,"Sì","No"))</f>
        <v/>
      </c>
    </row>
    <row r="39" customFormat="false" ht="23.85" hidden="false" customHeight="false" outlineLevel="0" collapsed="false">
      <c r="A39" s="6" t="n">
        <v>34</v>
      </c>
      <c r="B39" s="8" t="s">
        <v>197</v>
      </c>
      <c r="C39" s="6" t="s">
        <v>143</v>
      </c>
      <c r="D39" s="6" t="s">
        <v>144</v>
      </c>
      <c r="E39" s="6" t="s">
        <v>71</v>
      </c>
      <c r="F39" s="6" t="s">
        <v>229</v>
      </c>
      <c r="G39" s="7" t="n">
        <v>4.92</v>
      </c>
      <c r="H39" s="7" t="n">
        <v>4.92</v>
      </c>
      <c r="I39" s="6" t="s">
        <v>78</v>
      </c>
      <c r="J39" s="6" t="n">
        <v>15</v>
      </c>
      <c r="K39" s="6" t="n">
        <v>312</v>
      </c>
      <c r="L39" s="6" t="s">
        <v>30</v>
      </c>
      <c r="M39" s="8" t="s">
        <v>79</v>
      </c>
      <c r="N39" s="6" t="s">
        <v>30</v>
      </c>
      <c r="O39" s="9" t="n">
        <v>0.7</v>
      </c>
      <c r="P39" s="10" t="n">
        <v>44.965322</v>
      </c>
      <c r="Q39" s="10" t="n">
        <v>9.896571</v>
      </c>
      <c r="R39" s="11" t="str">
        <f aca="false">HYPERLINK("https://www.google.com/maps?q=44.965322,9.896571&amp;t=k","Apri")</f>
        <v>Apri</v>
      </c>
      <c r="S39" s="12" t="n">
        <f aca="false">G39*10000*$D$3</f>
        <v>393600</v>
      </c>
      <c r="T39" s="8" t="s">
        <v>230</v>
      </c>
      <c r="U39" s="13"/>
      <c r="V39" s="14"/>
      <c r="W39" s="6" t="str">
        <f aca="false">IF(V39="","",IF(V39&lt;=$D$3,"Sì","No"))</f>
        <v/>
      </c>
    </row>
    <row r="40" customFormat="false" ht="23.85" hidden="false" customHeight="false" outlineLevel="0" collapsed="false">
      <c r="A40" s="6" t="n">
        <v>35</v>
      </c>
      <c r="B40" s="8" t="s">
        <v>197</v>
      </c>
      <c r="C40" s="6" t="s">
        <v>86</v>
      </c>
      <c r="D40" s="6" t="s">
        <v>87</v>
      </c>
      <c r="E40" s="6" t="s">
        <v>224</v>
      </c>
      <c r="F40" s="6" t="s">
        <v>231</v>
      </c>
      <c r="G40" s="7" t="n">
        <v>10.03</v>
      </c>
      <c r="H40" s="7" t="n">
        <v>4.91</v>
      </c>
      <c r="I40" s="6" t="s">
        <v>29</v>
      </c>
      <c r="J40" s="6" t="n">
        <v>189</v>
      </c>
      <c r="K40" s="6" t="n">
        <v>182</v>
      </c>
      <c r="L40" s="6" t="s">
        <v>30</v>
      </c>
      <c r="M40" s="8" t="s">
        <v>93</v>
      </c>
      <c r="N40" s="6" t="s">
        <v>30</v>
      </c>
      <c r="O40" s="9" t="n">
        <v>2.2</v>
      </c>
      <c r="P40" s="10" t="n">
        <v>45.053872</v>
      </c>
      <c r="Q40" s="10" t="n">
        <v>9.758993</v>
      </c>
      <c r="R40" s="11" t="str">
        <f aca="false">HYPERLINK("https://www.google.com/maps?q=45.053872,9.758993&amp;t=k","Apri")</f>
        <v>Apri</v>
      </c>
      <c r="S40" s="12" t="n">
        <f aca="false">G40*10000*$D$3</f>
        <v>802400</v>
      </c>
      <c r="T40" s="8" t="s">
        <v>232</v>
      </c>
      <c r="U40" s="13"/>
      <c r="V40" s="14"/>
      <c r="W40" s="6" t="str">
        <f aca="false">IF(V40="","",IF(V40&lt;=$D$3,"Sì","No"))</f>
        <v/>
      </c>
    </row>
    <row r="41" customFormat="false" ht="23.85" hidden="false" customHeight="false" outlineLevel="0" collapsed="false">
      <c r="A41" s="6" t="n">
        <v>36</v>
      </c>
      <c r="B41" s="8" t="s">
        <v>197</v>
      </c>
      <c r="C41" s="6" t="s">
        <v>143</v>
      </c>
      <c r="D41" s="6" t="s">
        <v>144</v>
      </c>
      <c r="E41" s="6" t="s">
        <v>71</v>
      </c>
      <c r="F41" s="6" t="s">
        <v>156</v>
      </c>
      <c r="G41" s="7" t="n">
        <v>5.5</v>
      </c>
      <c r="H41" s="7" t="n">
        <v>4.78</v>
      </c>
      <c r="I41" s="6" t="s">
        <v>78</v>
      </c>
      <c r="J41" s="6" t="n">
        <v>44</v>
      </c>
      <c r="K41" s="6" t="n">
        <v>446</v>
      </c>
      <c r="L41" s="6" t="s">
        <v>30</v>
      </c>
      <c r="M41" s="8" t="s">
        <v>79</v>
      </c>
      <c r="N41" s="6" t="s">
        <v>30</v>
      </c>
      <c r="O41" s="9" t="n">
        <v>1.2</v>
      </c>
      <c r="P41" s="10" t="n">
        <v>44.962075</v>
      </c>
      <c r="Q41" s="10" t="n">
        <v>9.901297</v>
      </c>
      <c r="R41" s="11" t="str">
        <f aca="false">HYPERLINK("https://www.google.com/maps?q=44.962075,9.901297&amp;t=k","Apri")</f>
        <v>Apri</v>
      </c>
      <c r="S41" s="12" t="n">
        <f aca="false">G41*10000*$D$3</f>
        <v>440000</v>
      </c>
      <c r="T41" s="8" t="s">
        <v>233</v>
      </c>
      <c r="U41" s="13"/>
      <c r="V41" s="14"/>
      <c r="W41" s="6" t="str">
        <f aca="false">IF(V41="","",IF(V41&lt;=$D$3,"Sì","No"))</f>
        <v/>
      </c>
    </row>
    <row r="42" customFormat="false" ht="23.85" hidden="false" customHeight="false" outlineLevel="0" collapsed="false">
      <c r="A42" s="6" t="n">
        <v>37</v>
      </c>
      <c r="B42" s="8" t="s">
        <v>197</v>
      </c>
      <c r="C42" s="6" t="s">
        <v>143</v>
      </c>
      <c r="D42" s="6" t="s">
        <v>144</v>
      </c>
      <c r="E42" s="6" t="s">
        <v>71</v>
      </c>
      <c r="F42" s="6" t="s">
        <v>234</v>
      </c>
      <c r="G42" s="7" t="n">
        <v>4.71</v>
      </c>
      <c r="H42" s="7" t="n">
        <v>4.71</v>
      </c>
      <c r="I42" s="6" t="s">
        <v>78</v>
      </c>
      <c r="J42" s="6" t="n">
        <v>14</v>
      </c>
      <c r="K42" s="6" t="n">
        <v>88</v>
      </c>
      <c r="L42" s="6" t="s">
        <v>30</v>
      </c>
      <c r="M42" s="8" t="s">
        <v>79</v>
      </c>
      <c r="N42" s="6" t="s">
        <v>30</v>
      </c>
      <c r="O42" s="9" t="n">
        <v>0.6</v>
      </c>
      <c r="P42" s="10" t="n">
        <v>44.967203</v>
      </c>
      <c r="Q42" s="10" t="n">
        <v>9.897651</v>
      </c>
      <c r="R42" s="11" t="str">
        <f aca="false">HYPERLINK("https://www.google.com/maps?q=44.967203,9.897651&amp;t=k","Apri")</f>
        <v>Apri</v>
      </c>
      <c r="S42" s="12" t="n">
        <f aca="false">G42*10000*$D$3</f>
        <v>376800</v>
      </c>
      <c r="T42" s="8" t="s">
        <v>235</v>
      </c>
      <c r="U42" s="13"/>
      <c r="V42" s="14"/>
      <c r="W42" s="6" t="str">
        <f aca="false">IF(V42="","",IF(V42&lt;=$D$3,"Sì","No"))</f>
        <v/>
      </c>
    </row>
    <row r="43" customFormat="false" ht="23.85" hidden="false" customHeight="false" outlineLevel="0" collapsed="false">
      <c r="A43" s="6" t="n">
        <v>38</v>
      </c>
      <c r="B43" s="8" t="s">
        <v>197</v>
      </c>
      <c r="C43" s="6" t="s">
        <v>86</v>
      </c>
      <c r="D43" s="6" t="s">
        <v>87</v>
      </c>
      <c r="E43" s="6" t="s">
        <v>198</v>
      </c>
      <c r="F43" s="6" t="s">
        <v>236</v>
      </c>
      <c r="G43" s="7" t="n">
        <v>4.51</v>
      </c>
      <c r="H43" s="7" t="n">
        <v>4.51</v>
      </c>
      <c r="I43" s="6" t="s">
        <v>29</v>
      </c>
      <c r="J43" s="6" t="n">
        <v>17</v>
      </c>
      <c r="K43" s="6" t="n">
        <v>54</v>
      </c>
      <c r="L43" s="6" t="s">
        <v>30</v>
      </c>
      <c r="M43" s="8" t="s">
        <v>59</v>
      </c>
      <c r="N43" s="6"/>
      <c r="O43" s="9" t="n">
        <v>2.3</v>
      </c>
      <c r="P43" s="10" t="n">
        <v>45.051764</v>
      </c>
      <c r="Q43" s="10" t="n">
        <v>9.764596</v>
      </c>
      <c r="R43" s="11" t="str">
        <f aca="false">HYPERLINK("https://www.google.com/maps?q=45.051764,9.764596&amp;t=k","Apri")</f>
        <v>Apri</v>
      </c>
      <c r="S43" s="12" t="n">
        <f aca="false">G43*10000*$D$3</f>
        <v>360800</v>
      </c>
      <c r="T43" s="8" t="s">
        <v>237</v>
      </c>
      <c r="U43" s="13"/>
      <c r="V43" s="14"/>
      <c r="W43" s="6" t="str">
        <f aca="false">IF(V43="","",IF(V43&lt;=$D$3,"Sì","No"))</f>
        <v/>
      </c>
    </row>
    <row r="44" customFormat="false" ht="23.85" hidden="false" customHeight="false" outlineLevel="0" collapsed="false">
      <c r="A44" s="6" t="n">
        <v>39</v>
      </c>
      <c r="B44" s="8" t="s">
        <v>197</v>
      </c>
      <c r="C44" s="6" t="s">
        <v>86</v>
      </c>
      <c r="D44" s="6" t="s">
        <v>87</v>
      </c>
      <c r="E44" s="6" t="s">
        <v>231</v>
      </c>
      <c r="F44" s="6" t="s">
        <v>238</v>
      </c>
      <c r="G44" s="7" t="n">
        <v>4.25</v>
      </c>
      <c r="H44" s="7" t="n">
        <v>4.25</v>
      </c>
      <c r="I44" s="6" t="s">
        <v>29</v>
      </c>
      <c r="J44" s="6" t="n">
        <v>36</v>
      </c>
      <c r="K44" s="6" t="n">
        <v>56</v>
      </c>
      <c r="L44" s="6" t="s">
        <v>30</v>
      </c>
      <c r="M44" s="8" t="s">
        <v>239</v>
      </c>
      <c r="N44" s="6" t="s">
        <v>30</v>
      </c>
      <c r="O44" s="9" t="n">
        <v>0.9</v>
      </c>
      <c r="P44" s="10" t="n">
        <v>45.062611</v>
      </c>
      <c r="Q44" s="10" t="n">
        <v>9.666918</v>
      </c>
      <c r="R44" s="11" t="str">
        <f aca="false">HYPERLINK("https://www.google.com/maps?q=45.062611,9.666918&amp;t=k","Apri")</f>
        <v>Apri</v>
      </c>
      <c r="S44" s="12" t="n">
        <f aca="false">G44*10000*$D$3</f>
        <v>340000</v>
      </c>
      <c r="T44" s="8" t="s">
        <v>240</v>
      </c>
      <c r="U44" s="13"/>
      <c r="V44" s="14"/>
      <c r="W44" s="6" t="str">
        <f aca="false">IF(V44="","",IF(V44&lt;=$D$3,"Sì","No"))</f>
        <v/>
      </c>
    </row>
    <row r="45" customFormat="false" ht="35.05" hidden="false" customHeight="false" outlineLevel="0" collapsed="false">
      <c r="A45" s="6" t="n">
        <v>40</v>
      </c>
      <c r="B45" s="8" t="s">
        <v>197</v>
      </c>
      <c r="C45" s="6" t="s">
        <v>56</v>
      </c>
      <c r="D45" s="6" t="s">
        <v>57</v>
      </c>
      <c r="E45" s="6" t="s">
        <v>103</v>
      </c>
      <c r="F45" s="6" t="s">
        <v>91</v>
      </c>
      <c r="G45" s="7" t="n">
        <v>4.2</v>
      </c>
      <c r="H45" s="7" t="n">
        <v>4.2</v>
      </c>
      <c r="I45" s="6" t="s">
        <v>29</v>
      </c>
      <c r="J45" s="6" t="n">
        <v>16</v>
      </c>
      <c r="K45" s="6" t="n">
        <v>27</v>
      </c>
      <c r="L45" s="6" t="s">
        <v>30</v>
      </c>
      <c r="M45" s="8" t="s">
        <v>59</v>
      </c>
      <c r="N45" s="6"/>
      <c r="O45" s="9" t="n">
        <v>0.7</v>
      </c>
      <c r="P45" s="10" t="n">
        <v>45.063441</v>
      </c>
      <c r="Q45" s="10" t="n">
        <v>9.633849</v>
      </c>
      <c r="R45" s="11" t="str">
        <f aca="false">HYPERLINK("https://www.google.com/maps?q=45.063441,9.633849&amp;t=k","Apri")</f>
        <v>Apri</v>
      </c>
      <c r="S45" s="12" t="n">
        <f aca="false">G45*10000*$D$3</f>
        <v>336000</v>
      </c>
      <c r="T45" s="8" t="s">
        <v>241</v>
      </c>
      <c r="U45" s="13"/>
      <c r="V45" s="14"/>
      <c r="W45" s="6" t="str">
        <f aca="false">IF(V45="","",IF(V45&lt;=$D$3,"Sì","No"))</f>
        <v/>
      </c>
    </row>
    <row r="46" customFormat="false" ht="23.85" hidden="false" customHeight="false" outlineLevel="0" collapsed="false">
      <c r="A46" s="6" t="n">
        <v>41</v>
      </c>
      <c r="B46" s="8" t="s">
        <v>197</v>
      </c>
      <c r="C46" s="6" t="s">
        <v>86</v>
      </c>
      <c r="D46" s="6" t="s">
        <v>87</v>
      </c>
      <c r="E46" s="6" t="s">
        <v>106</v>
      </c>
      <c r="F46" s="6" t="s">
        <v>242</v>
      </c>
      <c r="G46" s="7" t="n">
        <v>4.14</v>
      </c>
      <c r="H46" s="7" t="n">
        <v>4.14</v>
      </c>
      <c r="I46" s="6" t="s">
        <v>29</v>
      </c>
      <c r="J46" s="6" t="n">
        <v>15</v>
      </c>
      <c r="K46" s="6" t="n">
        <v>75</v>
      </c>
      <c r="L46" s="6" t="s">
        <v>30</v>
      </c>
      <c r="M46" s="8" t="s">
        <v>239</v>
      </c>
      <c r="N46" s="6" t="s">
        <v>30</v>
      </c>
      <c r="O46" s="9" t="n">
        <v>0.8</v>
      </c>
      <c r="P46" s="10" t="n">
        <v>45.060433</v>
      </c>
      <c r="Q46" s="10" t="n">
        <v>9.683897</v>
      </c>
      <c r="R46" s="11" t="str">
        <f aca="false">HYPERLINK("https://www.google.com/maps?q=45.060433,9.683897&amp;t=k","Apri")</f>
        <v>Apri</v>
      </c>
      <c r="S46" s="12" t="n">
        <f aca="false">G46*10000*$D$3</f>
        <v>331200</v>
      </c>
      <c r="T46" s="8" t="s">
        <v>243</v>
      </c>
      <c r="U46" s="13"/>
      <c r="V46" s="14"/>
      <c r="W46" s="6" t="str">
        <f aca="false">IF(V46="","",IF(V46&lt;=$D$3,"Sì","No"))</f>
        <v/>
      </c>
    </row>
    <row r="47" customFormat="false" ht="15" hidden="false" customHeight="false" outlineLevel="0" collapsed="false">
      <c r="F47" s="3" t="s">
        <v>166</v>
      </c>
      <c r="G47" s="15" t="n">
        <f aca="false">SUM(G6:G46)</f>
        <v>250.88</v>
      </c>
      <c r="H47" s="15" t="n">
        <f aca="false">SUM(H6:H46)</f>
        <v>220.93</v>
      </c>
      <c r="S47" s="16" t="n">
        <f aca="false">SUM(S6:S46)</f>
        <v>20070400</v>
      </c>
    </row>
    <row r="49" customFormat="false" ht="15" hidden="false" customHeight="false" outlineLevel="0" collapsed="false">
      <c r="A49" s="2" t="s">
        <v>167</v>
      </c>
    </row>
    <row r="50" customFormat="false" ht="15" hidden="false" customHeight="false" outlineLevel="0" collapsed="false">
      <c r="A50" s="2" t="s">
        <v>168</v>
      </c>
    </row>
    <row r="51" customFormat="false" ht="15" hidden="false" customHeight="false" outlineLevel="0" collapsed="false">
      <c r="A51" s="2" t="s">
        <v>169</v>
      </c>
    </row>
    <row r="52" customFormat="false" ht="15" hidden="false" customHeight="false" outlineLevel="0" collapsed="false">
      <c r="A52" s="2" t="s">
        <v>170</v>
      </c>
    </row>
  </sheetData>
  <autoFilter ref="A5:W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7" t="s">
        <v>244</v>
      </c>
    </row>
    <row r="2" customFormat="false" ht="28.35" hidden="false" customHeight="false" outlineLevel="0" collapsed="false">
      <c r="A2" s="18" t="s">
        <v>245</v>
      </c>
    </row>
    <row r="3" customFormat="false" ht="28.35" hidden="false" customHeight="false" outlineLevel="0" collapsed="false">
      <c r="A3" s="18" t="s">
        <v>246</v>
      </c>
    </row>
    <row r="4" customFormat="false" ht="15" hidden="false" customHeight="false" outlineLevel="0" collapsed="false">
      <c r="A4" s="18" t="s">
        <v>247</v>
      </c>
    </row>
    <row r="5" customFormat="false" ht="15" hidden="false" customHeight="false" outlineLevel="0" collapsed="false">
      <c r="A5" s="18" t="s">
        <v>248</v>
      </c>
    </row>
    <row r="6" customFormat="false" ht="28.35" hidden="false" customHeight="false" outlineLevel="0" collapsed="false">
      <c r="A6" s="18" t="s">
        <v>249</v>
      </c>
    </row>
    <row r="7" customFormat="false" ht="15" hidden="false" customHeight="false" outlineLevel="0" collapsed="false">
      <c r="A7" s="18" t="s">
        <v>250</v>
      </c>
    </row>
    <row r="8" customFormat="false" ht="15" hidden="false" customHeight="false" outlineLevel="0" collapsed="false">
      <c r="A8" s="18"/>
    </row>
    <row r="9" customFormat="false" ht="15" hidden="false" customHeight="false" outlineLevel="0" collapsed="false">
      <c r="A9" s="17" t="s">
        <v>251</v>
      </c>
    </row>
    <row r="10" customFormat="false" ht="28.35" hidden="false" customHeight="false" outlineLevel="0" collapsed="false">
      <c r="A10" s="18" t="s">
        <v>252</v>
      </c>
    </row>
    <row r="11" customFormat="false" ht="15" hidden="false" customHeight="false" outlineLevel="0" collapsed="false">
      <c r="A11" s="18" t="s">
        <v>253</v>
      </c>
    </row>
    <row r="12" customFormat="false" ht="28.35" hidden="false" customHeight="false" outlineLevel="0" collapsed="false">
      <c r="A12" s="18" t="s">
        <v>254</v>
      </c>
    </row>
    <row r="13" customFormat="false" ht="28.35" hidden="false" customHeight="false" outlineLevel="0" collapsed="false">
      <c r="A13" s="18" t="s">
        <v>255</v>
      </c>
    </row>
    <row r="14" customFormat="false" ht="15" hidden="false" customHeight="false" outlineLevel="0" collapsed="false">
      <c r="A14" s="18"/>
    </row>
    <row r="15" customFormat="false" ht="15" hidden="false" customHeight="false" outlineLevel="0" collapsed="false">
      <c r="A15" s="17" t="s">
        <v>256</v>
      </c>
    </row>
    <row r="16" customFormat="false" ht="15" hidden="false" customHeight="false" outlineLevel="0" collapsed="false">
      <c r="A16" s="18" t="s">
        <v>257</v>
      </c>
    </row>
    <row r="17" customFormat="false" ht="15" hidden="false" customHeight="false" outlineLevel="0" collapsed="false">
      <c r="A17" s="18" t="s">
        <v>258</v>
      </c>
    </row>
    <row r="18" customFormat="false" ht="15" hidden="false" customHeight="false" outlineLevel="0" collapsed="false">
      <c r="A18" s="18" t="s">
        <v>259</v>
      </c>
    </row>
    <row r="19" customFormat="false" ht="15" hidden="false" customHeight="false" outlineLevel="0" collapsed="false">
      <c r="A19" s="18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2026-10-21T10:03:07Z</dcterms:created>
  <dc:creator>openpyxl</dc:creator>
  <dc:description/>
  <dc:language>en-US</dc:language>
  <cp:lastModifiedBy/>
  <dcterms:modified xsi:type="dcterms:W3CDTF">2026-10-21T10:03:07Z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