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Sintetico_Piacen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 &quot;€/mq&quot;"/>
    <numFmt numFmtId="166" formatCode="#,##0 &quot;€/pert.&quot;"/>
  </numFmts>
  <fonts count="9">
    <font>
      <name val="Calibri"/>
      <family val="2"/>
      <color theme="1"/>
      <sz val="11"/>
      <scheme val="minor"/>
    </font>
    <font>
      <name val="Calibri"/>
      <b val="1"/>
      <color rgb="000B1528"/>
      <sz val="14"/>
    </font>
    <font>
      <name val="Calibri"/>
      <i val="1"/>
      <color rgb="00334155"/>
      <sz val="10"/>
    </font>
    <font>
      <name val="Calibri"/>
      <b val="1"/>
      <color rgb="00059669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D4ED8"/>
      <sz val="10"/>
    </font>
    <font>
      <name val="Calibri"/>
      <b val="1"/>
      <color rgb="00047857"/>
      <sz val="10"/>
    </font>
  </fonts>
  <fills count="9">
    <fill>
      <patternFill/>
    </fill>
    <fill>
      <patternFill patternType="gray125"/>
    </fill>
    <fill>
      <patternFill patternType="solid">
        <fgColor rgb="000B1528"/>
      </patternFill>
    </fill>
    <fill>
      <patternFill patternType="solid">
        <fgColor rgb="00059669"/>
      </patternFill>
    </fill>
    <fill>
      <patternFill patternType="solid">
        <fgColor rgb="00DBEAFE"/>
      </patternFill>
    </fill>
    <fill>
      <patternFill patternType="solid">
        <fgColor rgb="00FFE4E6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B1528"/>
      </top>
      <bottom style="double">
        <color rgb="000B152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7" fillId="4" borderId="1" applyAlignment="1" pivotButton="0" quotePrefix="0" xfId="0">
      <alignment horizontal="right" vertical="center" wrapText="1"/>
    </xf>
    <xf numFmtId="166" fontId="7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right" vertical="center" wrapText="1"/>
    </xf>
    <xf numFmtId="166" fontId="8" fillId="6" borderId="1" applyAlignment="1" pivotButton="0" quotePrefix="0" xfId="0">
      <alignment horizontal="right" vertical="center" wrapText="1"/>
    </xf>
    <xf numFmtId="0" fontId="5" fillId="7" borderId="2" pivotButton="0" quotePrefix="0" xfId="0"/>
    <xf numFmtId="0" fontId="5" fillId="7" borderId="2" applyAlignment="1" pivotButton="0" quotePrefix="0" xfId="0">
      <alignment horizontal="center" vertical="center" wrapText="1"/>
    </xf>
    <xf numFmtId="164" fontId="5" fillId="7" borderId="2" pivotButton="0" quotePrefix="0" xfId="0"/>
    <xf numFmtId="165" fontId="5" fillId="7" borderId="2" pivotButton="0" quotePrefix="0" xfId="0"/>
    <xf numFmtId="166" fontId="5" fillId="7" borderId="2" pivotButton="0" quotePrefix="0" xfId="0"/>
    <xf numFmtId="0" fontId="5" fillId="7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6" customWidth="1" min="3" max="3"/>
    <col width="16" customWidth="1" min="4" max="4"/>
    <col width="20" customWidth="1" min="5" max="5"/>
    <col width="22" customWidth="1" min="6" max="6"/>
    <col width="18" customWidth="1" min="7" max="7"/>
    <col width="22" customWidth="1" min="8" max="8"/>
    <col width="20" customWidth="1" min="9" max="9"/>
    <col width="22" customWidth="1" min="10" max="10"/>
    <col width="22" customWidth="1" min="11" max="11"/>
  </cols>
  <sheetData>
    <row r="1">
      <c r="A1" s="1" t="inlineStr">
        <is>
          <t>RIEPILOGO SINTETICO — QUOTAZIONI REALI TERRENI PIACENTINO (A1 &amp; A21)</t>
        </is>
      </c>
    </row>
    <row r="2">
      <c r="A2" s="2" t="inlineStr">
        <is>
          <t>Unità locale: 1 Pertica Piacentina = 762 mq (1 Ettaro = 13,12 Pertiche) · Fonti: Rogiti CREA/CCIAA, Idealista/Immobiliare.it, Sviluppatori FV</t>
        </is>
      </c>
    </row>
    <row r="4">
      <c r="A4" s="3" t="inlineStr">
        <is>
          <t>1. TABELLA SINTETICA COMUNE PER COMUNE (116 LOTTI IN MAPPA)</t>
        </is>
      </c>
    </row>
    <row r="5" ht="30" customHeight="1">
      <c r="A5" s="4" t="inlineStr">
        <is>
          <t>Comune</t>
        </is>
      </c>
      <c r="B5" s="4" t="inlineStr">
        <is>
          <t>Asse</t>
        </is>
      </c>
      <c r="C5" s="4" t="inlineStr">
        <is>
          <t>Lotti Aperta / Tot</t>
        </is>
      </c>
      <c r="D5" s="4" t="inlineStr">
        <is>
          <t>Ettari ≤300m (ha)</t>
        </is>
      </c>
      <c r="E5" s="4" t="inlineStr">
        <is>
          <t>ROGITO AGRICOLO REALE (€/mq)</t>
        </is>
      </c>
      <c r="F5" s="4" t="inlineStr">
        <is>
          <t>ROGITO AGRICOLO (€/Pertica 762mq)</t>
        </is>
      </c>
      <c r="G5" s="4" t="inlineStr">
        <is>
          <t>Annunci Portali (€/mq)</t>
        </is>
      </c>
      <c r="H5" s="4" t="inlineStr">
        <is>
          <t>Terreno Industriale Zona D (€/mq)</t>
        </is>
      </c>
      <c r="I5" s="5" t="inlineStr">
        <is>
          <t>OFFERTA FV CONSIGLIATA (€/mq)</t>
        </is>
      </c>
      <c r="J5" s="5" t="inlineStr">
        <is>
          <t>OFFERTA FV (€/Pertica 762mq)</t>
        </is>
      </c>
      <c r="K5" s="4" t="inlineStr">
        <is>
          <t>Priorità</t>
        </is>
      </c>
    </row>
    <row r="6" ht="22" customHeight="1">
      <c r="A6" s="6" t="inlineStr">
        <is>
          <t>San Pietro in Cerro</t>
        </is>
      </c>
      <c r="B6" s="7" t="inlineStr">
        <is>
          <t>A21</t>
        </is>
      </c>
      <c r="C6" s="7" t="inlineStr">
        <is>
          <t>6 / 7</t>
        </is>
      </c>
      <c r="D6" s="8" t="n">
        <v>42.4</v>
      </c>
      <c r="E6" s="9" t="n">
        <v>5.15</v>
      </c>
      <c r="F6" s="10">
        <f>E6*762.02</f>
        <v/>
      </c>
      <c r="G6" s="7" t="inlineStr">
        <is>
          <t>4.90 – 6.10 €</t>
        </is>
      </c>
      <c r="H6" s="11" t="inlineStr">
        <is>
          <t>50 – 70 €</t>
        </is>
      </c>
      <c r="I6" s="12" t="n">
        <v>7.05</v>
      </c>
      <c r="J6" s="13">
        <f>I6*762.02</f>
        <v/>
      </c>
      <c r="K6" s="6" t="inlineStr">
        <is>
          <t>TOP (Priorità 1)</t>
        </is>
      </c>
    </row>
    <row r="7" ht="22" customHeight="1">
      <c r="A7" s="6" t="inlineStr">
        <is>
          <t>Cadeo</t>
        </is>
      </c>
      <c r="B7" s="7" t="inlineStr">
        <is>
          <t>A1</t>
        </is>
      </c>
      <c r="C7" s="7" t="inlineStr">
        <is>
          <t>19 / 19</t>
        </is>
      </c>
      <c r="D7" s="8" t="n">
        <v>118.4</v>
      </c>
      <c r="E7" s="9" t="n">
        <v>5.75</v>
      </c>
      <c r="F7" s="10">
        <f>E7*762.02</f>
        <v/>
      </c>
      <c r="G7" s="7" t="inlineStr">
        <is>
          <t>5.60 – 7.15 €</t>
        </is>
      </c>
      <c r="H7" s="11" t="inlineStr">
        <is>
          <t>70 – 95 €</t>
        </is>
      </c>
      <c r="I7" s="12" t="n">
        <v>7.2</v>
      </c>
      <c r="J7" s="13">
        <f>I7*762.02</f>
        <v/>
      </c>
      <c r="K7" s="6" t="inlineStr">
        <is>
          <t>TOP (Priorità 1)</t>
        </is>
      </c>
    </row>
    <row r="8" ht="22" customHeight="1">
      <c r="A8" s="6" t="inlineStr">
        <is>
          <t>Caorso</t>
        </is>
      </c>
      <c r="B8" s="7" t="inlineStr">
        <is>
          <t>A21</t>
        </is>
      </c>
      <c r="C8" s="7" t="inlineStr">
        <is>
          <t>9 / 12</t>
        </is>
      </c>
      <c r="D8" s="8" t="n">
        <v>90.3</v>
      </c>
      <c r="E8" s="9" t="n">
        <v>5.45</v>
      </c>
      <c r="F8" s="10">
        <f>E8*762.02</f>
        <v/>
      </c>
      <c r="G8" s="7" t="inlineStr">
        <is>
          <t>5.20 – 6.50 €</t>
        </is>
      </c>
      <c r="H8" s="11" t="inlineStr">
        <is>
          <t>85 – 100 €</t>
        </is>
      </c>
      <c r="I8" s="12" t="n">
        <v>7.35</v>
      </c>
      <c r="J8" s="13">
        <f>I8*762.02</f>
        <v/>
      </c>
      <c r="K8" s="6" t="inlineStr">
        <is>
          <t>TOP (Priorità 1)</t>
        </is>
      </c>
    </row>
    <row r="9" ht="22" customHeight="1">
      <c r="A9" s="6" t="inlineStr">
        <is>
          <t>Rottofreno</t>
        </is>
      </c>
      <c r="B9" s="7" t="inlineStr">
        <is>
          <t>A21</t>
        </is>
      </c>
      <c r="C9" s="7" t="inlineStr">
        <is>
          <t>12 / 13</t>
        </is>
      </c>
      <c r="D9" s="8" t="n">
        <v>92.09999999999999</v>
      </c>
      <c r="E9" s="9" t="n">
        <v>5.65</v>
      </c>
      <c r="F9" s="10">
        <f>E9*762.02</f>
        <v/>
      </c>
      <c r="G9" s="7" t="inlineStr">
        <is>
          <t>5.40 – 6.80 €</t>
        </is>
      </c>
      <c r="H9" s="11" t="inlineStr">
        <is>
          <t>75 – 105 €</t>
        </is>
      </c>
      <c r="I9" s="12" t="n">
        <v>7.5</v>
      </c>
      <c r="J9" s="13">
        <f>I9*762.02</f>
        <v/>
      </c>
      <c r="K9" s="6" t="inlineStr">
        <is>
          <t>TOP (Priorità 1)</t>
        </is>
      </c>
    </row>
    <row r="10" ht="22" customHeight="1">
      <c r="A10" s="6" t="inlineStr">
        <is>
          <t>Pontenure</t>
        </is>
      </c>
      <c r="B10" s="7" t="inlineStr">
        <is>
          <t>A1</t>
        </is>
      </c>
      <c r="C10" s="7" t="inlineStr">
        <is>
          <t>6 / 7</t>
        </is>
      </c>
      <c r="D10" s="8" t="n">
        <v>37.5</v>
      </c>
      <c r="E10" s="9" t="n">
        <v>6.1</v>
      </c>
      <c r="F10" s="10">
        <f>E10*762.02</f>
        <v/>
      </c>
      <c r="G10" s="7" t="inlineStr">
        <is>
          <t>6.00 – 7.35 €</t>
        </is>
      </c>
      <c r="H10" s="11" t="inlineStr">
        <is>
          <t>85 – 110 €</t>
        </is>
      </c>
      <c r="I10" s="12" t="n">
        <v>7.65</v>
      </c>
      <c r="J10" s="13">
        <f>I10*762.02</f>
        <v/>
      </c>
      <c r="K10" s="6" t="inlineStr">
        <is>
          <t>TOP (Priorità 1)</t>
        </is>
      </c>
    </row>
    <row r="11" ht="22" customHeight="1">
      <c r="A11" s="6" t="inlineStr">
        <is>
          <t>Fiorenzuola d'Arda</t>
        </is>
      </c>
      <c r="B11" s="7" t="inlineStr">
        <is>
          <t>A1</t>
        </is>
      </c>
      <c r="C11" s="7" t="inlineStr">
        <is>
          <t>8 / 11</t>
        </is>
      </c>
      <c r="D11" s="8" t="n">
        <v>52.4</v>
      </c>
      <c r="E11" s="9" t="n">
        <v>5.6</v>
      </c>
      <c r="F11" s="10">
        <f>E11*762.02</f>
        <v/>
      </c>
      <c r="G11" s="7" t="inlineStr">
        <is>
          <t>5.50 – 6.80 €</t>
        </is>
      </c>
      <c r="H11" s="11" t="inlineStr">
        <is>
          <t>80 – 116 €</t>
        </is>
      </c>
      <c r="I11" s="12" t="n">
        <v>7.3</v>
      </c>
      <c r="J11" s="13">
        <f>I11*762.02</f>
        <v/>
      </c>
      <c r="K11" s="6" t="inlineStr">
        <is>
          <t>Alta</t>
        </is>
      </c>
    </row>
    <row r="12" ht="22" customHeight="1">
      <c r="A12" s="6" t="inlineStr">
        <is>
          <t>Castelvetro Piacentino</t>
        </is>
      </c>
      <c r="B12" s="7" t="inlineStr">
        <is>
          <t>A21</t>
        </is>
      </c>
      <c r="C12" s="7" t="inlineStr">
        <is>
          <t>8 / 9</t>
        </is>
      </c>
      <c r="D12" s="8" t="n">
        <v>51.5</v>
      </c>
      <c r="E12" s="9" t="n">
        <v>5.3</v>
      </c>
      <c r="F12" s="10">
        <f>E12*762.02</f>
        <v/>
      </c>
      <c r="G12" s="7" t="inlineStr">
        <is>
          <t>5.10 – 6.30 €</t>
        </is>
      </c>
      <c r="H12" s="11" t="inlineStr">
        <is>
          <t>60 – 85 €</t>
        </is>
      </c>
      <c r="I12" s="12" t="n">
        <v>7.15</v>
      </c>
      <c r="J12" s="13">
        <f>I12*762.02</f>
        <v/>
      </c>
      <c r="K12" s="6" t="inlineStr">
        <is>
          <t>Alta</t>
        </is>
      </c>
    </row>
    <row r="13" ht="22" customHeight="1">
      <c r="A13" s="6" t="inlineStr">
        <is>
          <t>Monticelli d'Ongina</t>
        </is>
      </c>
      <c r="B13" s="7" t="inlineStr">
        <is>
          <t>A21</t>
        </is>
      </c>
      <c r="C13" s="7" t="inlineStr">
        <is>
          <t>6 / 8</t>
        </is>
      </c>
      <c r="D13" s="8" t="n">
        <v>44.8</v>
      </c>
      <c r="E13" s="9" t="n">
        <v>5.35</v>
      </c>
      <c r="F13" s="10">
        <f>E13*762.02</f>
        <v/>
      </c>
      <c r="G13" s="7" t="inlineStr">
        <is>
          <t>5.15 – 6.35 €</t>
        </is>
      </c>
      <c r="H13" s="11" t="inlineStr">
        <is>
          <t>55 – 80 €</t>
        </is>
      </c>
      <c r="I13" s="12" t="n">
        <v>7.25</v>
      </c>
      <c r="J13" s="13">
        <f>I13*762.02</f>
        <v/>
      </c>
      <c r="K13" s="6" t="inlineStr">
        <is>
          <t>Alta</t>
        </is>
      </c>
    </row>
    <row r="14" ht="22" customHeight="1">
      <c r="A14" s="6" t="inlineStr">
        <is>
          <t>Calendasco</t>
        </is>
      </c>
      <c r="B14" s="7" t="inlineStr">
        <is>
          <t>A21</t>
        </is>
      </c>
      <c r="C14" s="7" t="inlineStr">
        <is>
          <t>4 / 5</t>
        </is>
      </c>
      <c r="D14" s="8" t="n">
        <v>30.3</v>
      </c>
      <c r="E14" s="9" t="n">
        <v>5.4</v>
      </c>
      <c r="F14" s="10">
        <f>E14*762.02</f>
        <v/>
      </c>
      <c r="G14" s="7" t="inlineStr">
        <is>
          <t>5.20 – 6.40 €</t>
        </is>
      </c>
      <c r="H14" s="11" t="inlineStr">
        <is>
          <t>65 – 90 €</t>
        </is>
      </c>
      <c r="I14" s="12" t="n">
        <v>7.25</v>
      </c>
      <c r="J14" s="13">
        <f>I14*762.02</f>
        <v/>
      </c>
      <c r="K14" s="6" t="inlineStr">
        <is>
          <t>Alta</t>
        </is>
      </c>
    </row>
    <row r="15" ht="22" customHeight="1">
      <c r="A15" s="6" t="inlineStr">
        <is>
          <t>Alseno</t>
        </is>
      </c>
      <c r="B15" s="7" t="inlineStr">
        <is>
          <t>A1</t>
        </is>
      </c>
      <c r="C15" s="7" t="inlineStr">
        <is>
          <t>2 / 2</t>
        </is>
      </c>
      <c r="D15" s="8" t="n">
        <v>10.3</v>
      </c>
      <c r="E15" s="9" t="n">
        <v>5.05</v>
      </c>
      <c r="F15" s="10">
        <f>E15*762.02</f>
        <v/>
      </c>
      <c r="G15" s="7" t="inlineStr">
        <is>
          <t>4.80 – 5.95 €</t>
        </is>
      </c>
      <c r="H15" s="11" t="inlineStr">
        <is>
          <t>55 – 75 €</t>
        </is>
      </c>
      <c r="I15" s="12" t="n">
        <v>6.85</v>
      </c>
      <c r="J15" s="13">
        <f>I15*762.02</f>
        <v/>
      </c>
      <c r="K15" s="6" t="inlineStr">
        <is>
          <t>Alta</t>
        </is>
      </c>
    </row>
    <row r="16" ht="22" customHeight="1">
      <c r="A16" s="6" t="inlineStr">
        <is>
          <t>Sarmato</t>
        </is>
      </c>
      <c r="B16" s="7" t="inlineStr">
        <is>
          <t>A21</t>
        </is>
      </c>
      <c r="C16" s="7" t="inlineStr">
        <is>
          <t>2 / 2</t>
        </is>
      </c>
      <c r="D16" s="8" t="n">
        <v>9.199999999999999</v>
      </c>
      <c r="E16" s="9" t="n">
        <v>5.5</v>
      </c>
      <c r="F16" s="10">
        <f>E16*762.02</f>
        <v/>
      </c>
      <c r="G16" s="7" t="inlineStr">
        <is>
          <t>5.30 – 6.50 €</t>
        </is>
      </c>
      <c r="H16" s="11" t="inlineStr">
        <is>
          <t>70 – 95 €</t>
        </is>
      </c>
      <c r="I16" s="12" t="n">
        <v>7.3</v>
      </c>
      <c r="J16" s="13">
        <f>I16*762.02</f>
        <v/>
      </c>
      <c r="K16" s="6" t="inlineStr">
        <is>
          <t>Alta</t>
        </is>
      </c>
    </row>
    <row r="17" ht="22" customHeight="1">
      <c r="A17" s="6" t="inlineStr">
        <is>
          <t>Castel San Giovanni</t>
        </is>
      </c>
      <c r="B17" s="7" t="inlineStr">
        <is>
          <t>A21</t>
        </is>
      </c>
      <c r="C17" s="7" t="inlineStr">
        <is>
          <t>5 / 6</t>
        </is>
      </c>
      <c r="D17" s="8" t="n">
        <v>32.3</v>
      </c>
      <c r="E17" s="9" t="n">
        <v>5.55</v>
      </c>
      <c r="F17" s="10">
        <f>E17*762.02</f>
        <v/>
      </c>
      <c r="G17" s="7" t="inlineStr">
        <is>
          <t>5.30 – 6.80 €</t>
        </is>
      </c>
      <c r="H17" s="11" t="inlineStr">
        <is>
          <t>110 – 150 €</t>
        </is>
      </c>
      <c r="I17" s="12" t="n">
        <v>7.7</v>
      </c>
      <c r="J17" s="13">
        <f>I17*762.02</f>
        <v/>
      </c>
      <c r="K17" s="6" t="inlineStr">
        <is>
          <t>Verifica CDU / DDS</t>
        </is>
      </c>
    </row>
    <row r="18" ht="22" customHeight="1">
      <c r="A18" s="6" t="inlineStr">
        <is>
          <t>Piacenza</t>
        </is>
      </c>
      <c r="B18" s="7" t="inlineStr">
        <is>
          <t>A1/A21</t>
        </is>
      </c>
      <c r="C18" s="7" t="inlineStr">
        <is>
          <t>3 / 15</t>
        </is>
      </c>
      <c r="D18" s="8" t="n">
        <v>88.90000000000001</v>
      </c>
      <c r="E18" s="9" t="n">
        <v>6.15</v>
      </c>
      <c r="F18" s="10">
        <f>E18*762.02</f>
        <v/>
      </c>
      <c r="G18" s="7" t="inlineStr">
        <is>
          <t>6.00 – 7.60 €</t>
        </is>
      </c>
      <c r="H18" s="11" t="inlineStr">
        <is>
          <t>80 – 140 €</t>
        </is>
      </c>
      <c r="I18" s="12" t="n">
        <v>7.8</v>
      </c>
      <c r="J18" s="13">
        <f>I18*762.02</f>
        <v/>
      </c>
      <c r="K18" s="6" t="inlineStr">
        <is>
          <t>Verifica CDU / DDS</t>
        </is>
      </c>
    </row>
    <row r="19" ht="25" customHeight="1">
      <c r="A19" s="14" t="inlineStr">
        <is>
          <t>MEDIA / TOTALE CLUSTER</t>
        </is>
      </c>
      <c r="B19" s="14" t="n"/>
      <c r="C19" s="15" t="inlineStr">
        <is>
          <t>90 / 116</t>
        </is>
      </c>
      <c r="D19" s="16">
        <f>SUM(D6:D18)</f>
        <v/>
      </c>
      <c r="E19" s="17">
        <f>AVERAGE(E6:E18)</f>
        <v/>
      </c>
      <c r="F19" s="18">
        <f>AVERAGE(F6:F18)</f>
        <v/>
      </c>
      <c r="G19" s="15" t="inlineStr">
        <is>
          <t>5,35 – 6,65 €</t>
        </is>
      </c>
      <c r="H19" s="15" t="inlineStr">
        <is>
          <t>75 – 105 €</t>
        </is>
      </c>
      <c r="I19" s="17">
        <f>AVERAGE(I6:I18)</f>
        <v/>
      </c>
      <c r="J19" s="18">
        <f>AVERAGE(J6:J18)</f>
        <v/>
      </c>
      <c r="K19" s="19" t="inlineStr">
        <is>
          <t>+32% su Rogito Reale</t>
        </is>
      </c>
    </row>
    <row r="22">
      <c r="A22" s="3" t="inlineStr">
        <is>
          <t>2. I 3 PARAMETRI CHIAVE PER LA TRATTATIVA CON I PROPRIETARI</t>
        </is>
      </c>
    </row>
    <row r="23" ht="26" customHeight="1">
      <c r="A23" s="4" t="inlineStr">
        <is>
          <t>Formula / Parametro</t>
        </is>
      </c>
      <c r="B23" s="4" t="inlineStr">
        <is>
          <t>Al Metro Quadro (€/mq)</t>
        </is>
      </c>
      <c r="C23" s="4" t="inlineStr">
        <is>
          <t>A Ettaro (10.000 mq)</t>
        </is>
      </c>
      <c r="D23" s="4" t="inlineStr">
        <is>
          <t>A Pertica Piacentina (762 mq)</t>
        </is>
      </c>
      <c r="E23" s="4" t="inlineStr">
        <is>
          <t>Su 10 Ettari (131 Pertiche)</t>
        </is>
      </c>
      <c r="F23" s="4" t="inlineStr">
        <is>
          <t>Rischio Prelazione Confinanti</t>
        </is>
      </c>
    </row>
    <row r="24" ht="24" customHeight="1">
      <c r="A24" s="20" t="inlineStr">
        <is>
          <t>Valore Reale Terreno Agricolo (Rogito CREA/CCIAA)</t>
        </is>
      </c>
      <c r="B24" s="21" t="inlineStr">
        <is>
          <t>5,05 – 6,15 €/mq</t>
        </is>
      </c>
      <c r="C24" s="21" t="inlineStr">
        <is>
          <t>50.500 – 61.500 €/ha</t>
        </is>
      </c>
      <c r="D24" s="21" t="inlineStr">
        <is>
          <t>3.850 – 4.685 €/pertica</t>
        </is>
      </c>
      <c r="E24" s="22" t="inlineStr">
        <is>
          <t>505.000 – 615.000 €</t>
        </is>
      </c>
      <c r="F24" s="23" t="inlineStr">
        <is>
          <t>Baseline agricola attuale</t>
        </is>
      </c>
    </row>
    <row r="25" ht="24" customHeight="1">
      <c r="A25" s="6" t="inlineStr">
        <is>
          <t>Affitto Agrario Tradizionale (Mais / Pomodoro)</t>
        </is>
      </c>
      <c r="B25" s="24" t="inlineStr">
        <is>
          <t>0,06 €/mq/anno</t>
        </is>
      </c>
      <c r="C25" s="24" t="inlineStr">
        <is>
          <t>580 – 700 €/ha/anno</t>
        </is>
      </c>
      <c r="D25" s="24" t="inlineStr">
        <is>
          <t>44 – 53 €/pertica/anno</t>
        </is>
      </c>
      <c r="E25" s="7" t="inlineStr">
        <is>
          <t>6.200 €/anno</t>
        </is>
      </c>
      <c r="F25" s="25" t="inlineStr">
        <is>
          <t>—</t>
        </is>
      </c>
    </row>
    <row r="26" ht="24" customHeight="1">
      <c r="A26" s="26" t="inlineStr">
        <is>
          <t>Diritto di Superficie FV 30 Anni (Terreno resta al proprietario)</t>
        </is>
      </c>
      <c r="B26" s="27" t="inlineStr">
        <is>
          <t>0,30 €/mq/anno</t>
        </is>
      </c>
      <c r="C26" s="27" t="inlineStr">
        <is>
          <t>3.000 €/ha/anno (4,8x affitto)</t>
        </is>
      </c>
      <c r="D26" s="27" t="inlineStr">
        <is>
          <t>229 €/pertica/anno</t>
        </is>
      </c>
      <c r="E26" s="28" t="inlineStr">
        <is>
          <t>30.000 €/anno (900.000 € in 30a)</t>
        </is>
      </c>
      <c r="F26" s="29" t="inlineStr">
        <is>
          <t>NESSUNA PRELAZIONE (Esente)</t>
        </is>
      </c>
    </row>
    <row r="27" ht="24" customHeight="1">
      <c r="A27" s="30" t="inlineStr">
        <is>
          <t>Acquisto Piena Proprietà Fotovoltaico SunPro (Tetto ≤ 8,00 €/mq)</t>
        </is>
      </c>
      <c r="B27" s="31" t="inlineStr">
        <is>
          <t>6,85 – 8,00 €/mq (+32%)</t>
        </is>
      </c>
      <c r="C27" s="31" t="inlineStr">
        <is>
          <t>68.500 – 80.000 €/ha</t>
        </is>
      </c>
      <c r="D27" s="31" t="inlineStr">
        <is>
          <t>5.220 – 6.095 €/pertica</t>
        </is>
      </c>
      <c r="E27" s="32" t="inlineStr">
        <is>
          <t>685.000 – 800.000 € subito</t>
        </is>
      </c>
      <c r="F27" s="33" t="inlineStr">
        <is>
          <t>Sì (30 gg confinanti CD/IAP)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2026-10-28T10:28:26Z</dcterms:created>
  <dcterms:modified xsi:type="dcterms:W3CDTF">2026-10-28T10:28:26Z</dcterms:modified>
</cp:coreProperties>
</file>